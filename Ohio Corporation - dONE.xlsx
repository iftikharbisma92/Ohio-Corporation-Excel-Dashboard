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E:\Momina Rahim Excel\"/>
    </mc:Choice>
  </mc:AlternateContent>
  <xr:revisionPtr revIDLastSave="0" documentId="13_ncr:1_{93980877-B1C2-4801-BDED-D5541E6CCCAC}" xr6:coauthVersionLast="47" xr6:coauthVersionMax="47" xr10:uidLastSave="{00000000-0000-0000-0000-000000000000}"/>
  <bookViews>
    <workbookView xWindow="-108" yWindow="-108" windowWidth="23256" windowHeight="12576" xr2:uid="{C7407144-567E-4DDA-B835-07E21E8269AE}"/>
  </bookViews>
  <sheets>
    <sheet name="Instructions" sheetId="3" r:id="rId1"/>
    <sheet name="Exercise 1" sheetId="4" r:id="rId2"/>
    <sheet name="Exercise 2" sheetId="2" r:id="rId3"/>
    <sheet name="Exercise 3 Dashboard" sheetId="5" r:id="rId4"/>
    <sheet name="Detail1" sheetId="11" state="hidden" r:id="rId5"/>
    <sheet name="Financial data" sheetId="1" state="hidden" r:id="rId6"/>
    <sheet name="summary by store" sheetId="7" state="hidden" r:id="rId7"/>
    <sheet name="summary by category" sheetId="8" state="hidden" r:id="rId8"/>
    <sheet name="flattened data" sheetId="6" state="hidden" r:id="rId9"/>
    <sheet name="store info" sheetId="10" state="hidden" r:id="rId10"/>
  </sheets>
  <calcPr calcId="191029"/>
  <pivotCaches>
    <pivotCache cacheId="0" r:id="rId11"/>
    <pivotCache cacheId="1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4" l="1"/>
  <c r="E31" i="4"/>
  <c r="D31" i="4"/>
  <c r="C31" i="4"/>
  <c r="F29" i="4"/>
  <c r="E29" i="4"/>
  <c r="D29" i="4"/>
  <c r="C29" i="4"/>
  <c r="F32" i="4"/>
  <c r="E32" i="4"/>
  <c r="D32" i="4"/>
  <c r="C32" i="4"/>
  <c r="F30" i="4"/>
  <c r="E30" i="4"/>
  <c r="D30" i="4"/>
  <c r="C30" i="4"/>
  <c r="F28" i="4"/>
  <c r="E28" i="4"/>
  <c r="D28" i="4"/>
  <c r="C28" i="4"/>
  <c r="D13" i="4"/>
  <c r="D14" i="4"/>
  <c r="D15" i="4"/>
  <c r="D16" i="4"/>
  <c r="D17" i="4"/>
  <c r="D18" i="4"/>
  <c r="E13" i="4"/>
  <c r="E14" i="4"/>
  <c r="E15" i="4"/>
  <c r="E16" i="4"/>
  <c r="E17" i="4"/>
  <c r="E18" i="4"/>
  <c r="E12" i="4"/>
  <c r="D12" i="4"/>
  <c r="R27" i="5"/>
  <c r="E14" i="7"/>
  <c r="G14" i="7"/>
  <c r="R23" i="5"/>
  <c r="R19" i="5"/>
  <c r="C43" i="2"/>
  <c r="C44" i="2"/>
  <c r="C45" i="2"/>
  <c r="C46" i="2"/>
  <c r="C47" i="2"/>
  <c r="D43" i="2"/>
  <c r="D44" i="2"/>
  <c r="D45" i="2"/>
  <c r="D47" i="2"/>
  <c r="C42" i="2"/>
  <c r="E30" i="2"/>
  <c r="E31" i="2"/>
  <c r="E32" i="2"/>
  <c r="E33" i="2"/>
  <c r="D32" i="2"/>
  <c r="D30" i="2"/>
  <c r="D31" i="2"/>
  <c r="D33" i="2"/>
  <c r="D29" i="2"/>
  <c r="E19" i="2"/>
  <c r="E14" i="2"/>
  <c r="E15" i="2"/>
  <c r="E16" i="2"/>
  <c r="E17" i="2"/>
  <c r="E18" i="2"/>
  <c r="E20" i="2"/>
  <c r="D15" i="2"/>
  <c r="D16" i="2"/>
  <c r="D17" i="2"/>
  <c r="D18" i="2"/>
  <c r="D19" i="2"/>
  <c r="D20" i="2"/>
  <c r="D14" i="2"/>
  <c r="D46" i="2" l="1"/>
  <c r="D42" i="2"/>
  <c r="E29" i="2"/>
</calcChain>
</file>

<file path=xl/sharedStrings.xml><?xml version="1.0" encoding="utf-8"?>
<sst xmlns="http://schemas.openxmlformats.org/spreadsheetml/2006/main" count="473" uniqueCount="137">
  <si>
    <t>Sales</t>
  </si>
  <si>
    <t>Utilities</t>
  </si>
  <si>
    <t>Store_ID</t>
  </si>
  <si>
    <t>Category</t>
  </si>
  <si>
    <t>Amount</t>
  </si>
  <si>
    <t>Store_Name</t>
  </si>
  <si>
    <t>Gross_Profit</t>
  </si>
  <si>
    <t>Net_Income</t>
  </si>
  <si>
    <t>Region</t>
  </si>
  <si>
    <t>0092</t>
  </si>
  <si>
    <t>North</t>
  </si>
  <si>
    <t>1141</t>
  </si>
  <si>
    <t>West</t>
  </si>
  <si>
    <t>1237</t>
  </si>
  <si>
    <t>Central</t>
  </si>
  <si>
    <t>7732</t>
  </si>
  <si>
    <t>East</t>
  </si>
  <si>
    <t>8722</t>
  </si>
  <si>
    <t>Dayton Plaza</t>
  </si>
  <si>
    <t>9229</t>
  </si>
  <si>
    <t>South</t>
  </si>
  <si>
    <t>OHIO CORPORATION - STUDENT PROJECT</t>
  </si>
  <si>
    <t>Excel INDEX, MATCH &amp; SUMIF Analysis Project</t>
  </si>
  <si>
    <t>Student Information</t>
  </si>
  <si>
    <t>Name:</t>
  </si>
  <si>
    <t>[Enter your name here]</t>
  </si>
  <si>
    <t>Student ID:</t>
  </si>
  <si>
    <t>[Enter your ID here]</t>
  </si>
  <si>
    <t>Date:</t>
  </si>
  <si>
    <t>[Enter date here]</t>
  </si>
  <si>
    <t>Project Overview</t>
  </si>
  <si>
    <t>Exercise List</t>
  </si>
  <si>
    <t>Exercise</t>
  </si>
  <si>
    <t>Topic</t>
  </si>
  <si>
    <t>Description</t>
  </si>
  <si>
    <t>Points</t>
  </si>
  <si>
    <t>Exercise 1</t>
  </si>
  <si>
    <t>INDEX &amp; MATCH</t>
  </si>
  <si>
    <t>Retrieve financial data using lookup functions</t>
  </si>
  <si>
    <t>30 points</t>
  </si>
  <si>
    <t>Exercise 2</t>
  </si>
  <si>
    <t>SUMIF Analysis</t>
  </si>
  <si>
    <t>Create conditional summaries</t>
  </si>
  <si>
    <t>Exercise 3</t>
  </si>
  <si>
    <t>Dashboard</t>
  </si>
  <si>
    <t>Build a comprehensive financial dashboard</t>
  </si>
  <si>
    <t>40 points</t>
  </si>
  <si>
    <t>Important Instructions</t>
  </si>
  <si>
    <t>1. Use the Ohio_Master_Data.xlsx file as your data source</t>
  </si>
  <si>
    <t>2. Build ALL formulas from scratch - do NOT copy values</t>
  </si>
  <si>
    <t>3. Use absolute references ($A$1) where appropriate</t>
  </si>
  <si>
    <t>4. Test your formulas to ensure they return correct values</t>
  </si>
  <si>
    <t>5. Format numbers as currency where indicated</t>
  </si>
  <si>
    <t>6. Save your work frequently</t>
  </si>
  <si>
    <t>© 2026 Mohim By Momina. All rights reserved</t>
  </si>
  <si>
    <t>EXERCISE 1: INDEX &amp; MATCH FUNCTIONS</t>
  </si>
  <si>
    <t>INSTRUCTIONS: Use INDEX and MATCH functions to retrieve financial data from the Ohio_Master_Data.xlsx file. 
Your formula should look like: =INDEX(data_range, MATCH(store_id, store_range, 0), MATCH(category, category_range, 0))
Remember to use absolute references ($) for your lookup ranges!</t>
  </si>
  <si>
    <t>Task 1: Retrieve Single Values</t>
  </si>
  <si>
    <t>Store ID</t>
  </si>
  <si>
    <t>Your Formula</t>
  </si>
  <si>
    <t>Result</t>
  </si>
  <si>
    <t>Net Income</t>
  </si>
  <si>
    <t>Inventory</t>
  </si>
  <si>
    <t>Gross Profit</t>
  </si>
  <si>
    <t>08222</t>
  </si>
  <si>
    <t>Cost of Goods Sold</t>
  </si>
  <si>
    <t>Task 2: Complete the Financial Table</t>
  </si>
  <si>
    <t>Fill in the table below by creating INDEX/MATCH formulas for each cell. 
The rows represent different stores, and the columns represent different financial categories.
Create ONE formula and copy it across all cells (use absolute references!)</t>
  </si>
  <si>
    <t>Category \ Store</t>
  </si>
  <si>
    <t>z</t>
  </si>
  <si>
    <t>EXERCISE 2: SUMIF ANALYSIS</t>
  </si>
  <si>
    <t>INSTRUCTIONS: Use SUMIF functions to create conditional summaries of the Ohio Corporation financial data.
SUMIF Syntax: =SUMIF(range, criteria, [sum_range])
Example: =SUMIF(Store_Range, "1237", Sales_Range) will sum all sales for store 1237</t>
  </si>
  <si>
    <t>Task 1: Total Sales by Store</t>
  </si>
  <si>
    <t>Use SUMIF to calculate the total Sales for each store listed below. Reference the Flattened_Data sheet in the master file.</t>
  </si>
  <si>
    <t>Store Name</t>
  </si>
  <si>
    <t>Your SUMIF Formula</t>
  </si>
  <si>
    <t>Total Sales</t>
  </si>
  <si>
    <t>Columbus Flagship</t>
  </si>
  <si>
    <t>Cleveland Downtown</t>
  </si>
  <si>
    <t>Cincinnati Mall</t>
  </si>
  <si>
    <t>Toledo Center</t>
  </si>
  <si>
    <t>Akron Superstore</t>
  </si>
  <si>
    <t>Youngstown Outlet</t>
  </si>
  <si>
    <t>Task 2: Total Sales by Region</t>
  </si>
  <si>
    <t>Calculate total Sales for each region. You'll need to sum values from multiple stores in each region.</t>
  </si>
  <si>
    <t>Stores in Region</t>
  </si>
  <si>
    <t>0092, 08222</t>
  </si>
  <si>
    <t>7732, 1141</t>
  </si>
  <si>
    <t>Task 3: Total by Financial Category</t>
  </si>
  <si>
    <t>Calculate the total across ALL stores for each financial category. This will give you company-wide totals.</t>
  </si>
  <si>
    <t>Total</t>
  </si>
  <si>
    <t>Operating Expenses</t>
  </si>
  <si>
    <t>EXERCISE 3: COMPREHENSIVE DASHBOARD</t>
  </si>
  <si>
    <t>INSTRUCTIONS: Create a professional financial dashboard that summarizes the Ohio Corporation's performance.
Use all the skills you've learned: INDEX, MATCH, SUMIF, and formatting. Make it visually appealing and easy to understand.</t>
  </si>
  <si>
    <t>Financial Statements by Store</t>
  </si>
  <si>
    <t>Salaries Wages</t>
  </si>
  <si>
    <t>Rent Lease</t>
  </si>
  <si>
    <t>Marketing Advertising</t>
  </si>
  <si>
    <t>Depreciation</t>
  </si>
  <si>
    <t>Accounts Receivable</t>
  </si>
  <si>
    <t>Flattened Financial Data</t>
  </si>
  <si>
    <t>Financial Summary by Store</t>
  </si>
  <si>
    <t>Total_Expenses</t>
  </si>
  <si>
    <t>Profit_Margin</t>
  </si>
  <si>
    <t>Financial Summary by Category</t>
  </si>
  <si>
    <t>Average</t>
  </si>
  <si>
    <t>Max</t>
  </si>
  <si>
    <t>Min</t>
  </si>
  <si>
    <r>
      <t xml:space="preserve">This project will test your ability to use advanced Excel functions to analyze financial data from the Ohio Corporation. You will work with data from 7 retail stores and create formulas to extract insights and build a dashboard. Complete all three exercises and submit this file. </t>
    </r>
    <r>
      <rPr>
        <sz val="11"/>
        <color rgb="FFFF0000"/>
        <rFont val="Cambria"/>
        <family val="1"/>
      </rPr>
      <t>unhide the sheets to get started</t>
    </r>
  </si>
  <si>
    <t>Store Information</t>
  </si>
  <si>
    <t>Location</t>
  </si>
  <si>
    <t>Store_Type</t>
  </si>
  <si>
    <t>Columbus, OH</t>
  </si>
  <si>
    <t>Flagship</t>
  </si>
  <si>
    <t>Cleveland, OH</t>
  </si>
  <si>
    <t>Urban</t>
  </si>
  <si>
    <t>Cincinnati, OH</t>
  </si>
  <si>
    <t>Suburban</t>
  </si>
  <si>
    <t>Dayton, OH</t>
  </si>
  <si>
    <t>Toledo, OH</t>
  </si>
  <si>
    <t>Akron, OH</t>
  </si>
  <si>
    <t>Youngstown, OH</t>
  </si>
  <si>
    <t>Submission Requirements:</t>
  </si>
  <si>
    <r>
      <t>•</t>
    </r>
    <r>
      <rPr>
        <sz val="7"/>
        <color rgb="FF1A202C"/>
        <rFont val="Times New Roman"/>
        <family val="1"/>
      </rPr>
      <t> </t>
    </r>
    <r>
      <rPr>
        <sz val="11"/>
        <color rgb="FF1A202C"/>
        <rFont val="Calibri"/>
        <family val="2"/>
      </rPr>
      <t>Submit your completed Ohio_Student_Project.xlsx file</t>
    </r>
  </si>
  <si>
    <r>
      <t>•</t>
    </r>
    <r>
      <rPr>
        <sz val="7"/>
        <color rgb="FF1A202C"/>
        <rFont val="Times New Roman"/>
        <family val="1"/>
      </rPr>
      <t> </t>
    </r>
    <r>
      <rPr>
        <sz val="11"/>
        <color rgb="FF1A202C"/>
        <rFont val="Calibri"/>
        <family val="2"/>
      </rPr>
      <t>Include your name and student ID in the file properties</t>
    </r>
  </si>
  <si>
    <r>
      <t>•</t>
    </r>
    <r>
      <rPr>
        <sz val="7"/>
        <color rgb="FF1A202C"/>
        <rFont val="Times New Roman"/>
        <family val="1"/>
      </rPr>
      <t> </t>
    </r>
    <r>
      <rPr>
        <sz val="11"/>
        <color rgb="FF1A202C"/>
        <rFont val="Calibri"/>
        <family val="2"/>
      </rPr>
      <t>Ensure all formulas are working correctly before submission</t>
    </r>
  </si>
  <si>
    <t>Row Labels</t>
  </si>
  <si>
    <t>Grand Total</t>
  </si>
  <si>
    <t>Sum of Total</t>
  </si>
  <si>
    <t>Sum of Sales</t>
  </si>
  <si>
    <t>Sum of Gross_Profit</t>
  </si>
  <si>
    <t>Sum of Total_Expenses</t>
  </si>
  <si>
    <t>OHIO CORPORATION - SALE'S DASHBOARD</t>
  </si>
  <si>
    <t>GROSS PROFIT</t>
  </si>
  <si>
    <t>TOTAL EXPENSES</t>
  </si>
  <si>
    <t>TOTAL SALES</t>
  </si>
  <si>
    <t>Details for Sum of Profit_Margin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</si>
</sst>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&quot;$&quot;#,##0"/>
    <numFmt numFmtId="165" formatCode="0.0%"/>
    <numFmt numFmtId="166" formatCode="_(&quot;$&quot;* #,##0_);_(&quot;$&quot;* \(#,##0\);_(&quot;$&quot;* &quot;-&quot;??_);_(@_)"/>
    <numFmt numFmtId="167" formatCode="_([$$-409]* #,##0_);_([$$-409]* \(#,##0\);_([$$-409]* &quot;-&quot;_);_(@_)"/>
  </numFmts>
  <fonts count="2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indexed="8"/>
      <name val="Calibri"/>
      <family val="2"/>
    </font>
    <font>
      <b/>
      <sz val="28"/>
      <color indexed="56"/>
      <name val="Cambria"/>
      <family val="1"/>
    </font>
    <font>
      <sz val="16"/>
      <color indexed="62"/>
      <name val="Cambria"/>
      <family val="1"/>
    </font>
    <font>
      <b/>
      <sz val="14"/>
      <color indexed="56"/>
      <name val="Cambria"/>
      <family val="1"/>
    </font>
    <font>
      <sz val="10"/>
      <color indexed="60"/>
      <name val="Cambria"/>
      <family val="1"/>
    </font>
    <font>
      <sz val="11"/>
      <color indexed="57"/>
      <name val="Cambria"/>
      <family val="1"/>
    </font>
    <font>
      <b/>
      <sz val="11"/>
      <color indexed="9"/>
      <name val="Cambria"/>
      <family val="1"/>
    </font>
    <font>
      <b/>
      <sz val="14"/>
      <color indexed="60"/>
      <name val="Cambria"/>
      <family val="1"/>
    </font>
    <font>
      <sz val="10"/>
      <color indexed="57"/>
      <name val="Cambria"/>
      <family val="1"/>
    </font>
    <font>
      <b/>
      <sz val="20"/>
      <color indexed="56"/>
      <name val="Cambria"/>
      <family val="1"/>
    </font>
    <font>
      <i/>
      <sz val="10"/>
      <color indexed="62"/>
      <name val="Cambria"/>
      <family val="1"/>
    </font>
    <font>
      <b/>
      <sz val="14"/>
      <color indexed="62"/>
      <name val="Cambria"/>
      <family val="1"/>
    </font>
    <font>
      <sz val="10"/>
      <color indexed="63"/>
      <name val="Cambria"/>
      <family val="1"/>
    </font>
    <font>
      <b/>
      <sz val="9"/>
      <color indexed="9"/>
      <name val="Cambria"/>
      <family val="1"/>
    </font>
    <font>
      <i/>
      <sz val="10"/>
      <color indexed="57"/>
      <name val="Cambria"/>
      <family val="1"/>
    </font>
    <font>
      <b/>
      <sz val="18"/>
      <color indexed="56"/>
      <name val="Cambria"/>
      <family val="1"/>
    </font>
    <font>
      <b/>
      <sz val="10"/>
      <color indexed="9"/>
      <name val="Cambria"/>
      <family val="1"/>
    </font>
    <font>
      <sz val="10"/>
      <color indexed="18"/>
      <name val="Cambria"/>
      <family val="1"/>
    </font>
    <font>
      <sz val="10"/>
      <name val="Cambria"/>
      <family val="1"/>
    </font>
    <font>
      <sz val="11"/>
      <color rgb="FFFF0000"/>
      <name val="Cambria"/>
      <family val="1"/>
    </font>
    <font>
      <sz val="11"/>
      <color rgb="FF1A202C"/>
      <name val="Calibri"/>
      <family val="2"/>
    </font>
    <font>
      <b/>
      <sz val="11"/>
      <color rgb="FF1A202C"/>
      <name val="Calibri"/>
      <family val="2"/>
    </font>
    <font>
      <sz val="7"/>
      <color rgb="FF1A202C"/>
      <name val="Times New Roman"/>
      <family val="1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AF0"/>
        <bgColor indexed="64"/>
      </patternFill>
    </fill>
    <fill>
      <patternFill patternType="solid">
        <fgColor rgb="FF1A365D"/>
        <bgColor indexed="64"/>
      </patternFill>
    </fill>
    <fill>
      <patternFill patternType="solid">
        <fgColor rgb="FFEBF8FF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2C528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CBD5E0"/>
      </left>
      <right/>
      <top style="thin">
        <color rgb="FFCBD5E0"/>
      </top>
      <bottom/>
      <diagonal/>
    </border>
    <border>
      <left/>
      <right/>
      <top style="thin">
        <color rgb="FFCBD5E0"/>
      </top>
      <bottom/>
      <diagonal/>
    </border>
    <border>
      <left style="thin">
        <color rgb="FFCBD5E0"/>
      </left>
      <right/>
      <top/>
      <bottom/>
      <diagonal/>
    </border>
  </borders>
  <cellStyleXfs count="2">
    <xf numFmtId="0" fontId="0" fillId="0" borderId="0"/>
    <xf numFmtId="44" fontId="25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5" fillId="0" borderId="0" xfId="0" applyFont="1"/>
    <xf numFmtId="0" fontId="6" fillId="2" borderId="0" xfId="0" applyFont="1" applyFill="1"/>
    <xf numFmtId="0" fontId="8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9" fillId="0" borderId="0" xfId="0" applyFont="1"/>
    <xf numFmtId="0" fontId="10" fillId="0" borderId="0" xfId="0" applyFont="1"/>
    <xf numFmtId="0" fontId="13" fillId="0" borderId="0" xfId="0" applyFont="1"/>
    <xf numFmtId="0" fontId="6" fillId="2" borderId="1" xfId="0" applyFont="1" applyFill="1" applyBorder="1"/>
    <xf numFmtId="164" fontId="14" fillId="5" borderId="1" xfId="0" applyNumberFormat="1" applyFont="1" applyFill="1" applyBorder="1"/>
    <xf numFmtId="0" fontId="15" fillId="6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left" vertical="center"/>
    </xf>
    <xf numFmtId="164" fontId="19" fillId="0" borderId="1" xfId="0" applyNumberFormat="1" applyFont="1" applyBorder="1" applyAlignment="1">
      <alignment horizontal="right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164" fontId="20" fillId="0" borderId="1" xfId="0" applyNumberFormat="1" applyFont="1" applyBorder="1" applyAlignment="1">
      <alignment horizontal="right" vertical="center"/>
    </xf>
    <xf numFmtId="165" fontId="20" fillId="0" borderId="1" xfId="0" applyNumberFormat="1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2" fillId="0" borderId="0" xfId="0" applyFont="1" applyAlignment="1">
      <alignment horizontal="left" vertical="center" indent="6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2" fillId="7" borderId="0" xfId="0" applyFont="1" applyFill="1"/>
    <xf numFmtId="0" fontId="0" fillId="7" borderId="0" xfId="0" applyFill="1"/>
    <xf numFmtId="0" fontId="26" fillId="0" borderId="0" xfId="0" applyFont="1"/>
    <xf numFmtId="10" fontId="0" fillId="0" borderId="0" xfId="0" applyNumberFormat="1"/>
    <xf numFmtId="0" fontId="26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166" fontId="26" fillId="8" borderId="0" xfId="1" applyNumberFormat="1" applyFont="1" applyFill="1" applyAlignment="1">
      <alignment horizontal="center" vertical="center"/>
    </xf>
    <xf numFmtId="167" fontId="26" fillId="8" borderId="0" xfId="1" applyNumberFormat="1" applyFont="1" applyFill="1" applyAlignment="1">
      <alignment horizontal="center" vertical="center"/>
    </xf>
    <xf numFmtId="0" fontId="11" fillId="7" borderId="0" xfId="0" applyFont="1" applyFill="1" applyAlignment="1">
      <alignment horizontal="left" vertical="center"/>
    </xf>
    <xf numFmtId="0" fontId="12" fillId="7" borderId="2" xfId="0" applyFont="1" applyFill="1" applyBorder="1" applyAlignment="1">
      <alignment vertical="top" wrapText="1"/>
    </xf>
    <xf numFmtId="0" fontId="12" fillId="7" borderId="3" xfId="0" applyFont="1" applyFill="1" applyBorder="1" applyAlignment="1">
      <alignment vertical="top" wrapText="1"/>
    </xf>
    <xf numFmtId="0" fontId="12" fillId="7" borderId="4" xfId="0" applyFont="1" applyFill="1" applyBorder="1" applyAlignment="1">
      <alignment vertical="top" wrapText="1"/>
    </xf>
    <xf numFmtId="0" fontId="12" fillId="7" borderId="0" xfId="0" applyFont="1" applyFill="1" applyAlignment="1">
      <alignment vertical="top" wrapText="1"/>
    </xf>
    <xf numFmtId="0" fontId="2" fillId="7" borderId="0" xfId="0" applyFont="1" applyFill="1" applyAlignment="1">
      <alignment horizontal="left"/>
    </xf>
    <xf numFmtId="0" fontId="27" fillId="7" borderId="0" xfId="0" applyFont="1" applyFill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vertical="top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4" borderId="0" xfId="0" applyFont="1" applyFill="1" applyAlignment="1">
      <alignment horizontal="left" vertical="top" wrapText="1"/>
    </xf>
    <xf numFmtId="0" fontId="12" fillId="4" borderId="2" xfId="0" applyFont="1" applyFill="1" applyBorder="1" applyAlignment="1">
      <alignment horizontal="left" vertical="top" wrapText="1"/>
    </xf>
    <xf numFmtId="0" fontId="12" fillId="4" borderId="3" xfId="0" applyFont="1" applyFill="1" applyBorder="1" applyAlignment="1">
      <alignment horizontal="left" vertical="top" wrapText="1"/>
    </xf>
    <xf numFmtId="0" fontId="12" fillId="4" borderId="4" xfId="0" applyFont="1" applyFill="1" applyBorder="1" applyAlignment="1">
      <alignment horizontal="left" vertical="top" wrapText="1"/>
    </xf>
    <xf numFmtId="0" fontId="16" fillId="0" borderId="0" xfId="0" applyFont="1" applyAlignment="1">
      <alignment vertical="top" wrapText="1"/>
    </xf>
    <xf numFmtId="0" fontId="12" fillId="4" borderId="2" xfId="0" applyFont="1" applyFill="1" applyBorder="1" applyAlignment="1">
      <alignment horizontal="left" vertical="center" wrapText="1"/>
    </xf>
    <xf numFmtId="0" fontId="12" fillId="4" borderId="3" xfId="0" applyFont="1" applyFill="1" applyBorder="1" applyAlignment="1">
      <alignment horizontal="left" vertical="center" wrapText="1"/>
    </xf>
    <xf numFmtId="0" fontId="12" fillId="4" borderId="4" xfId="0" applyFont="1" applyFill="1" applyBorder="1" applyAlignment="1">
      <alignment horizontal="left" vertical="center" wrapText="1"/>
    </xf>
    <xf numFmtId="0" fontId="12" fillId="4" borderId="0" xfId="0" applyFont="1" applyFill="1" applyAlignment="1">
      <alignment horizontal="left" vertical="center" wrapText="1"/>
    </xf>
    <xf numFmtId="0" fontId="17" fillId="0" borderId="0" xfId="0" applyFont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[Ohio Corporation - dONE.xlsx]summary by store!PivotTable2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 SALES BY STORE</a:t>
            </a:r>
          </a:p>
        </c:rich>
      </c:tx>
      <c:layout>
        <c:manualLayout>
          <c:xMode val="edge"/>
          <c:yMode val="edge"/>
          <c:x val="0.4505655220932435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'summary by store'!$C$17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by store'!$B$18:$B$25</c:f>
              <c:strCache>
                <c:ptCount val="7"/>
                <c:pt idx="0">
                  <c:v>Akron Superstore</c:v>
                </c:pt>
                <c:pt idx="1">
                  <c:v>Cincinnati Mall</c:v>
                </c:pt>
                <c:pt idx="2">
                  <c:v>Cleveland Downtown</c:v>
                </c:pt>
                <c:pt idx="3">
                  <c:v>Columbus Flagship</c:v>
                </c:pt>
                <c:pt idx="4">
                  <c:v>Dayton Plaza</c:v>
                </c:pt>
                <c:pt idx="5">
                  <c:v>Toledo Center</c:v>
                </c:pt>
                <c:pt idx="6">
                  <c:v>Youngstown Outlet</c:v>
                </c:pt>
              </c:strCache>
            </c:strRef>
          </c:cat>
          <c:val>
            <c:numRef>
              <c:f>'summary by store'!$C$18:$C$25</c:f>
              <c:numCache>
                <c:formatCode>"$"#,##0</c:formatCode>
                <c:ptCount val="7"/>
                <c:pt idx="0">
                  <c:v>2749689</c:v>
                </c:pt>
                <c:pt idx="1">
                  <c:v>513628</c:v>
                </c:pt>
                <c:pt idx="2">
                  <c:v>1044739</c:v>
                </c:pt>
                <c:pt idx="3">
                  <c:v>4602437</c:v>
                </c:pt>
                <c:pt idx="4">
                  <c:v>1831990</c:v>
                </c:pt>
                <c:pt idx="5">
                  <c:v>1258403</c:v>
                </c:pt>
                <c:pt idx="6">
                  <c:v>1013405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FF-4E4A-9343-702142E98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4815952"/>
        <c:axId val="1204816432"/>
      </c:barChart>
      <c:catAx>
        <c:axId val="1204815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816432"/>
        <c:crosses val="autoZero"/>
        <c:auto val="1"/>
        <c:lblAlgn val="ctr"/>
        <c:lblOffset val="100"/>
        <c:noMultiLvlLbl val="0"/>
      </c:catAx>
      <c:valAx>
        <c:axId val="1204816432"/>
        <c:scaling>
          <c:orientation val="minMax"/>
        </c:scaling>
        <c:delete val="0"/>
        <c:axPos val="b"/>
        <c:numFmt formatCode="&quot;$&quot;#,##0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815952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[Ohio Corporation - dONE.xlsx]summary by store!PivotTable3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EXPENSES BY</a:t>
            </a:r>
            <a:r>
              <a:rPr lang="en-US" baseline="0"/>
              <a:t> STORES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'summary by store'!$F$17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A8A-4454-A04D-7F7225C8764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A8A-4454-A04D-7F7225C8764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A8A-4454-A04D-7F7225C8764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A8A-4454-A04D-7F7225C8764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A8A-4454-A04D-7F7225C8764D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A8A-4454-A04D-7F7225C8764D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A8A-4454-A04D-7F7225C8764D}"/>
              </c:ext>
            </c:extLst>
          </c:dPt>
          <c:cat>
            <c:strRef>
              <c:f>'summary by store'!$E$18:$E$25</c:f>
              <c:strCache>
                <c:ptCount val="7"/>
                <c:pt idx="0">
                  <c:v>Akron Superstore</c:v>
                </c:pt>
                <c:pt idx="1">
                  <c:v>Cincinnati Mall</c:v>
                </c:pt>
                <c:pt idx="2">
                  <c:v>Cleveland Downtown</c:v>
                </c:pt>
                <c:pt idx="3">
                  <c:v>Columbus Flagship</c:v>
                </c:pt>
                <c:pt idx="4">
                  <c:v>Dayton Plaza</c:v>
                </c:pt>
                <c:pt idx="5">
                  <c:v>Toledo Center</c:v>
                </c:pt>
                <c:pt idx="6">
                  <c:v>Youngstown Outlet</c:v>
                </c:pt>
              </c:strCache>
            </c:strRef>
          </c:cat>
          <c:val>
            <c:numRef>
              <c:f>'summary by store'!$F$18:$F$25</c:f>
              <c:numCache>
                <c:formatCode>"$"#,##0</c:formatCode>
                <c:ptCount val="7"/>
                <c:pt idx="0">
                  <c:v>1229277</c:v>
                </c:pt>
                <c:pt idx="1">
                  <c:v>218018</c:v>
                </c:pt>
                <c:pt idx="2">
                  <c:v>455320</c:v>
                </c:pt>
                <c:pt idx="3">
                  <c:v>2167757</c:v>
                </c:pt>
                <c:pt idx="4">
                  <c:v>976753</c:v>
                </c:pt>
                <c:pt idx="5">
                  <c:v>550471</c:v>
                </c:pt>
                <c:pt idx="6">
                  <c:v>524790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A8A-4454-A04D-7F7225C87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[Ohio Corporation - dONE.xlsx]summary by category!PivotTable1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26596675415573"/>
          <c:y val="0.13930555555555557"/>
          <c:w val="0.70441885389326331"/>
          <c:h val="0.7212580198308544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'summary by category'!$C$19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by category'!$B$20:$B$32</c:f>
              <c:strCache>
                <c:ptCount val="12"/>
                <c:pt idx="0">
                  <c:v>Accounts Receivable</c:v>
                </c:pt>
                <c:pt idx="1">
                  <c:v>Cost of Goods Sold</c:v>
                </c:pt>
                <c:pt idx="2">
                  <c:v>Depreciation</c:v>
                </c:pt>
                <c:pt idx="3">
                  <c:v>Gross Profit</c:v>
                </c:pt>
                <c:pt idx="4">
                  <c:v>Inventory</c:v>
                </c:pt>
                <c:pt idx="5">
                  <c:v>Marketing Advertising</c:v>
                </c:pt>
                <c:pt idx="6">
                  <c:v>Net Income</c:v>
                </c:pt>
                <c:pt idx="7">
                  <c:v>Operating Expenses</c:v>
                </c:pt>
                <c:pt idx="8">
                  <c:v>Rent Lease</c:v>
                </c:pt>
                <c:pt idx="9">
                  <c:v>Salaries Wages</c:v>
                </c:pt>
                <c:pt idx="10">
                  <c:v>Sales</c:v>
                </c:pt>
                <c:pt idx="11">
                  <c:v>Utilities</c:v>
                </c:pt>
              </c:strCache>
            </c:strRef>
          </c:cat>
          <c:val>
            <c:numRef>
              <c:f>'summary by category'!$C$20:$C$32</c:f>
              <c:numCache>
                <c:formatCode>"$"#,##0</c:formatCode>
                <c:ptCount val="12"/>
                <c:pt idx="0">
                  <c:v>1086718</c:v>
                </c:pt>
                <c:pt idx="1">
                  <c:v>7971195</c:v>
                </c:pt>
                <c:pt idx="2">
                  <c:v>233091</c:v>
                </c:pt>
                <c:pt idx="3">
                  <c:v>5043096</c:v>
                </c:pt>
                <c:pt idx="4">
                  <c:v>3758970</c:v>
                </c:pt>
                <c:pt idx="5">
                  <c:v>492410</c:v>
                </c:pt>
                <c:pt idx="6">
                  <c:v>-1079290</c:v>
                </c:pt>
                <c:pt idx="7">
                  <c:v>2674138</c:v>
                </c:pt>
                <c:pt idx="8">
                  <c:v>628083</c:v>
                </c:pt>
                <c:pt idx="9">
                  <c:v>1846477</c:v>
                </c:pt>
                <c:pt idx="10">
                  <c:v>13014291</c:v>
                </c:pt>
                <c:pt idx="11">
                  <c:v>248187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39-4DA3-A7A5-555567148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718256"/>
        <c:axId val="1307719216"/>
      </c:barChart>
      <c:catAx>
        <c:axId val="1307718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719216"/>
        <c:crosses val="autoZero"/>
        <c:auto val="1"/>
        <c:lblAlgn val="ctr"/>
        <c:lblOffset val="100"/>
        <c:noMultiLvlLbl val="0"/>
      </c:catAx>
      <c:valAx>
        <c:axId val="1307719216"/>
        <c:scaling>
          <c:orientation val="minMax"/>
        </c:scaling>
        <c:delete val="0"/>
        <c:axPos val="b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71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[Ohio Corporation - dONE.xlsx]summary by store!PivotTable6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GROSS PROFIT BY STORE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'summary by store'!$I$17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56A-4818-B877-8FCD9F4B14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56A-4818-B877-8FCD9F4B147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56A-4818-B877-8FCD9F4B147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56A-4818-B877-8FCD9F4B147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56A-4818-B877-8FCD9F4B147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56A-4818-B877-8FCD9F4B147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56A-4818-B877-8FCD9F4B14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'summary by store'!$H$18:$H$25</c:f>
              <c:strCache>
                <c:ptCount val="7"/>
                <c:pt idx="0">
                  <c:v>Akron Superstore</c:v>
                </c:pt>
                <c:pt idx="1">
                  <c:v>Cincinnati Mall</c:v>
                </c:pt>
                <c:pt idx="2">
                  <c:v>Cleveland Downtown</c:v>
                </c:pt>
                <c:pt idx="3">
                  <c:v>Columbus Flagship</c:v>
                </c:pt>
                <c:pt idx="4">
                  <c:v>Dayton Plaza</c:v>
                </c:pt>
                <c:pt idx="5">
                  <c:v>Toledo Center</c:v>
                </c:pt>
                <c:pt idx="6">
                  <c:v>Youngstown Outlet</c:v>
                </c:pt>
              </c:strCache>
            </c:strRef>
          </c:cat>
          <c:val>
            <c:numRef>
              <c:f>'summary by store'!$I$18:$I$25</c:f>
              <c:numCache>
                <c:formatCode>0.00%</c:formatCode>
                <c:ptCount val="7"/>
                <c:pt idx="0">
                  <c:v>0.17713900350102396</c:v>
                </c:pt>
                <c:pt idx="1">
                  <c:v>3.4239086465932829E-2</c:v>
                </c:pt>
                <c:pt idx="2">
                  <c:v>8.6429050725982615E-2</c:v>
                </c:pt>
                <c:pt idx="3">
                  <c:v>0.39543923018717075</c:v>
                </c:pt>
                <c:pt idx="4">
                  <c:v>0.13057316378668976</c:v>
                </c:pt>
                <c:pt idx="5">
                  <c:v>9.067862281423951E-2</c:v>
                </c:pt>
                <c:pt idx="6">
                  <c:v>8.5501842518960577E-2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56A-4818-B877-8FCD9F4B147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[Ohio Corporation - dONE.xlsx]summary by store!PivotTable3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'summary by store'!$F$17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48E-48D9-9405-44E45582170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48E-48D9-9405-44E45582170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48E-48D9-9405-44E45582170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48E-48D9-9405-44E45582170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48E-48D9-9405-44E45582170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48E-48D9-9405-44E45582170F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48E-48D9-9405-44E45582170F}"/>
              </c:ext>
            </c:extLst>
          </c:dPt>
          <c:cat>
            <c:strRef>
              <c:f>'summary by store'!$E$18:$E$25</c:f>
              <c:strCache>
                <c:ptCount val="7"/>
                <c:pt idx="0">
                  <c:v>Akron Superstore</c:v>
                </c:pt>
                <c:pt idx="1">
                  <c:v>Cincinnati Mall</c:v>
                </c:pt>
                <c:pt idx="2">
                  <c:v>Cleveland Downtown</c:v>
                </c:pt>
                <c:pt idx="3">
                  <c:v>Columbus Flagship</c:v>
                </c:pt>
                <c:pt idx="4">
                  <c:v>Dayton Plaza</c:v>
                </c:pt>
                <c:pt idx="5">
                  <c:v>Toledo Center</c:v>
                </c:pt>
                <c:pt idx="6">
                  <c:v>Youngstown Outlet</c:v>
                </c:pt>
              </c:strCache>
            </c:strRef>
          </c:cat>
          <c:val>
            <c:numRef>
              <c:f>'summary by store'!$F$18:$F$25</c:f>
              <c:numCache>
                <c:formatCode>"$"#,##0</c:formatCode>
                <c:ptCount val="7"/>
                <c:pt idx="0">
                  <c:v>1229277</c:v>
                </c:pt>
                <c:pt idx="1">
                  <c:v>218018</c:v>
                </c:pt>
                <c:pt idx="2">
                  <c:v>455320</c:v>
                </c:pt>
                <c:pt idx="3">
                  <c:v>2167757</c:v>
                </c:pt>
                <c:pt idx="4">
                  <c:v>976753</c:v>
                </c:pt>
                <c:pt idx="5">
                  <c:v>550471</c:v>
                </c:pt>
                <c:pt idx="6">
                  <c:v>524790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BD-413A-BB32-E3015AEF4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[Ohio Corporation - dONE.xlsx]summary by store!PivotTable2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SALES PER STORE</a:t>
            </a:r>
          </a:p>
        </c:rich>
      </c:tx>
      <c:layout>
        <c:manualLayout>
          <c:xMode val="edge"/>
          <c:yMode val="edge"/>
          <c:x val="0.4505655220932435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'summary by store'!$C$17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by store'!$B$18:$B$25</c:f>
              <c:strCache>
                <c:ptCount val="7"/>
                <c:pt idx="0">
                  <c:v>Akron Superstore</c:v>
                </c:pt>
                <c:pt idx="1">
                  <c:v>Cincinnati Mall</c:v>
                </c:pt>
                <c:pt idx="2">
                  <c:v>Cleveland Downtown</c:v>
                </c:pt>
                <c:pt idx="3">
                  <c:v>Columbus Flagship</c:v>
                </c:pt>
                <c:pt idx="4">
                  <c:v>Dayton Plaza</c:v>
                </c:pt>
                <c:pt idx="5">
                  <c:v>Toledo Center</c:v>
                </c:pt>
                <c:pt idx="6">
                  <c:v>Youngstown Outlet</c:v>
                </c:pt>
              </c:strCache>
            </c:strRef>
          </c:cat>
          <c:val>
            <c:numRef>
              <c:f>'summary by store'!$C$18:$C$25</c:f>
              <c:numCache>
                <c:formatCode>"$"#,##0</c:formatCode>
                <c:ptCount val="7"/>
                <c:pt idx="0">
                  <c:v>2749689</c:v>
                </c:pt>
                <c:pt idx="1">
                  <c:v>513628</c:v>
                </c:pt>
                <c:pt idx="2">
                  <c:v>1044739</c:v>
                </c:pt>
                <c:pt idx="3">
                  <c:v>4602437</c:v>
                </c:pt>
                <c:pt idx="4">
                  <c:v>1831990</c:v>
                </c:pt>
                <c:pt idx="5">
                  <c:v>1258403</c:v>
                </c:pt>
                <c:pt idx="6">
                  <c:v>1013405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36-40B7-B86C-D7CCADFA8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4815952"/>
        <c:axId val="1204816432"/>
      </c:barChart>
      <c:catAx>
        <c:axId val="1204815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816432"/>
        <c:crosses val="autoZero"/>
        <c:auto val="1"/>
        <c:lblAlgn val="ctr"/>
        <c:lblOffset val="100"/>
        <c:noMultiLvlLbl val="0"/>
      </c:catAx>
      <c:valAx>
        <c:axId val="1204816432"/>
        <c:scaling>
          <c:orientation val="minMax"/>
        </c:scaling>
        <c:delete val="0"/>
        <c:axPos val="b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81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[Ohio Corporation - dONE.xlsx]summary by store!PivotTable6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GROSS PROFIT BY STORE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'summary by store'!$I$17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F76-4932-A594-8FBE0497016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F76-4932-A594-8FBE0497016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F76-4932-A594-8FBE0497016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F76-4932-A594-8FBE0497016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F76-4932-A594-8FBE0497016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F76-4932-A594-8FBE0497016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F76-4932-A594-8FBE0497016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'summary by store'!$H$18:$H$25</c:f>
              <c:strCache>
                <c:ptCount val="7"/>
                <c:pt idx="0">
                  <c:v>Akron Superstore</c:v>
                </c:pt>
                <c:pt idx="1">
                  <c:v>Cincinnati Mall</c:v>
                </c:pt>
                <c:pt idx="2">
                  <c:v>Cleveland Downtown</c:v>
                </c:pt>
                <c:pt idx="3">
                  <c:v>Columbus Flagship</c:v>
                </c:pt>
                <c:pt idx="4">
                  <c:v>Dayton Plaza</c:v>
                </c:pt>
                <c:pt idx="5">
                  <c:v>Toledo Center</c:v>
                </c:pt>
                <c:pt idx="6">
                  <c:v>Youngstown Outlet</c:v>
                </c:pt>
              </c:strCache>
            </c:strRef>
          </c:cat>
          <c:val>
            <c:numRef>
              <c:f>'summary by store'!$I$18:$I$25</c:f>
              <c:numCache>
                <c:formatCode>0.00%</c:formatCode>
                <c:ptCount val="7"/>
                <c:pt idx="0">
                  <c:v>0.17713900350102396</c:v>
                </c:pt>
                <c:pt idx="1">
                  <c:v>3.4239086465932829E-2</c:v>
                </c:pt>
                <c:pt idx="2">
                  <c:v>8.6429050725982615E-2</c:v>
                </c:pt>
                <c:pt idx="3">
                  <c:v>0.39543923018717075</c:v>
                </c:pt>
                <c:pt idx="4">
                  <c:v>0.13057316378668976</c:v>
                </c:pt>
                <c:pt idx="5">
                  <c:v>9.067862281423951E-2</c:v>
                </c:pt>
                <c:pt idx="6">
                  <c:v>8.5501842518960577E-2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86-40E2-B133-453FFF629D4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[Ohio Corporation - dONE.xlsx]summary by category!PivotTable1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26596675415573"/>
          <c:y val="0.13930555555555557"/>
          <c:w val="0.70441885389326331"/>
          <c:h val="0.7212580198308544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'summary by category'!$C$19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by category'!$B$20:$B$32</c:f>
              <c:strCache>
                <c:ptCount val="12"/>
                <c:pt idx="0">
                  <c:v>Accounts Receivable</c:v>
                </c:pt>
                <c:pt idx="1">
                  <c:v>Cost of Goods Sold</c:v>
                </c:pt>
                <c:pt idx="2">
                  <c:v>Depreciation</c:v>
                </c:pt>
                <c:pt idx="3">
                  <c:v>Gross Profit</c:v>
                </c:pt>
                <c:pt idx="4">
                  <c:v>Inventory</c:v>
                </c:pt>
                <c:pt idx="5">
                  <c:v>Marketing Advertising</c:v>
                </c:pt>
                <c:pt idx="6">
                  <c:v>Net Income</c:v>
                </c:pt>
                <c:pt idx="7">
                  <c:v>Operating Expenses</c:v>
                </c:pt>
                <c:pt idx="8">
                  <c:v>Rent Lease</c:v>
                </c:pt>
                <c:pt idx="9">
                  <c:v>Salaries Wages</c:v>
                </c:pt>
                <c:pt idx="10">
                  <c:v>Sales</c:v>
                </c:pt>
                <c:pt idx="11">
                  <c:v>Utilities</c:v>
                </c:pt>
              </c:strCache>
            </c:strRef>
          </c:cat>
          <c:val>
            <c:numRef>
              <c:f>'summary by category'!$C$20:$C$32</c:f>
              <c:numCache>
                <c:formatCode>"$"#,##0</c:formatCode>
                <c:ptCount val="12"/>
                <c:pt idx="0">
                  <c:v>1086718</c:v>
                </c:pt>
                <c:pt idx="1">
                  <c:v>7971195</c:v>
                </c:pt>
                <c:pt idx="2">
                  <c:v>233091</c:v>
                </c:pt>
                <c:pt idx="3">
                  <c:v>5043096</c:v>
                </c:pt>
                <c:pt idx="4">
                  <c:v>3758970</c:v>
                </c:pt>
                <c:pt idx="5">
                  <c:v>492410</c:v>
                </c:pt>
                <c:pt idx="6">
                  <c:v>-1079290</c:v>
                </c:pt>
                <c:pt idx="7">
                  <c:v>2674138</c:v>
                </c:pt>
                <c:pt idx="8">
                  <c:v>628083</c:v>
                </c:pt>
                <c:pt idx="9">
                  <c:v>1846477</c:v>
                </c:pt>
                <c:pt idx="10">
                  <c:v>13014291</c:v>
                </c:pt>
                <c:pt idx="11">
                  <c:v>248187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9F-4681-BEE6-699E0C8AC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7718256"/>
        <c:axId val="1307719216"/>
      </c:barChart>
      <c:catAx>
        <c:axId val="1307718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719216"/>
        <c:crosses val="autoZero"/>
        <c:auto val="1"/>
        <c:lblAlgn val="ctr"/>
        <c:lblOffset val="100"/>
        <c:noMultiLvlLbl val="0"/>
      </c:catAx>
      <c:valAx>
        <c:axId val="1307719216"/>
        <c:scaling>
          <c:orientation val="minMax"/>
        </c:scaling>
        <c:delete val="0"/>
        <c:axPos val="b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71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53340</xdr:colOff>
      <xdr:row>14</xdr:row>
      <xdr:rowOff>15240</xdr:rowOff>
    </xdr:from>
    <xdr:to>
      <xdr:col>8</xdr:col>
      <xdr:colOff>449580</xdr:colOff>
      <xdr:row>30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90BB9F-C815-4DCB-AF20-5690BAC1B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76200</xdr:colOff>
      <xdr:row>15</xdr:row>
      <xdr:rowOff>38100</xdr:rowOff>
    </xdr:from>
    <xdr:to>
      <xdr:col>15</xdr:col>
      <xdr:colOff>251460</xdr:colOff>
      <xdr:row>30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848450-B080-4068-B40E-AE248C26EE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579120</xdr:colOff>
      <xdr:row>33</xdr:row>
      <xdr:rowOff>91440</xdr:rowOff>
    </xdr:from>
    <xdr:to>
      <xdr:col>18</xdr:col>
      <xdr:colOff>289560</xdr:colOff>
      <xdr:row>48</xdr:row>
      <xdr:rowOff>99060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ACA1625-BDB1-4232-A6EB-7F71491D30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33</xdr:row>
      <xdr:rowOff>91440</xdr:rowOff>
    </xdr:from>
    <xdr:to>
      <xdr:col>8</xdr:col>
      <xdr:colOff>441960</xdr:colOff>
      <xdr:row>49</xdr:row>
      <xdr:rowOff>7620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6CAF2EA-C650-4996-B1A5-01CCD5A897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1120140</xdr:colOff>
      <xdr:row>27</xdr:row>
      <xdr:rowOff>30480</xdr:rowOff>
    </xdr:from>
    <xdr:to>
      <xdr:col>6</xdr:col>
      <xdr:colOff>358140</xdr:colOff>
      <xdr:row>40</xdr:row>
      <xdr:rowOff>114300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1CDF2FC-4F57-22AA-A099-BCD25E0B4F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15240</xdr:rowOff>
    </xdr:from>
    <xdr:to>
      <xdr:col>4</xdr:col>
      <xdr:colOff>441960</xdr:colOff>
      <xdr:row>42</xdr:row>
      <xdr:rowOff>15240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CE672AB-C5AD-01B1-52A3-9ED5A070D8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678180</xdr:colOff>
      <xdr:row>27</xdr:row>
      <xdr:rowOff>53340</xdr:rowOff>
    </xdr:from>
    <xdr:to>
      <xdr:col>9</xdr:col>
      <xdr:colOff>861060</xdr:colOff>
      <xdr:row>41</xdr:row>
      <xdr:rowOff>60960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1324F28-2AAD-A9F0-2FE0-B33AE77A5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838200</xdr:colOff>
      <xdr:row>17</xdr:row>
      <xdr:rowOff>30480</xdr:rowOff>
    </xdr:from>
    <xdr:to>
      <xdr:col>11</xdr:col>
      <xdr:colOff>76200</xdr:colOff>
      <xdr:row>32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9B1593-B242-011A-C6C8-34409649D6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REFLY LAPTOP'S" refreshedDate="46194.899713773149" createdVersion="8" refreshedVersion="8" minRefreshableVersion="3" recordCount="12" xr:uid="{4E06C434-BD6A-4C2B-A180-135AC3372182}">
  <cacheSource type="worksheet">
    <worksheetSource ref="B4:F16" sheet="summary by category"/>
  </cacheSource>
  <cacheFields count="5">
    <cacheField name="Category" numFmtId="0">
      <sharedItems count="12">
        <s v="Sales"/>
        <s v="Cost of Goods Sold"/>
        <s v="Gross Profit"/>
        <s v="Operating Expenses"/>
        <s v="Salaries Wages"/>
        <s v="Rent Lease"/>
        <s v="Utilities"/>
        <s v="Marketing Advertising"/>
        <s v="Depreciation"/>
        <s v="Inventory"/>
        <s v="Accounts Receivable"/>
        <s v="Net Income"/>
      </sharedItems>
    </cacheField>
    <cacheField name="Total" numFmtId="164">
      <sharedItems containsSemiMixedTypes="0" containsString="0" containsNumber="1" containsInteger="1" minValue="-1079290" maxValue="13014291"/>
    </cacheField>
    <cacheField name="Average" numFmtId="164">
      <sharedItems containsSemiMixedTypes="0" containsString="0" containsNumber="1" minValue="-154184.285714286" maxValue="1859184.42857143"/>
    </cacheField>
    <cacheField name="Max" numFmtId="164">
      <sharedItems containsSemiMixedTypes="0" containsString="0" containsNumber="1" containsInteger="1" minValue="-19450" maxValue="4602437"/>
    </cacheField>
    <cacheField name="Min" numFmtId="164">
      <sharedItems containsSemiMixedTypes="0" containsString="0" containsNumber="1" containsInteger="1" minValue="-335948" maxValue="5136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REFLY LAPTOP'S" refreshedDate="46194.902228356485" createdVersion="8" refreshedVersion="8" minRefreshableVersion="3" recordCount="7" xr:uid="{E7428339-1738-4172-9AF5-9EE188965B68}">
  <cacheSource type="worksheet">
    <worksheetSource ref="B5:H12" sheet="summary by store"/>
  </cacheSource>
  <cacheFields count="7">
    <cacheField name="Store_ID" numFmtId="0">
      <sharedItems/>
    </cacheField>
    <cacheField name="Store_Name" numFmtId="0">
      <sharedItems count="7">
        <s v="Columbus Flagship"/>
        <s v="Cleveland Downtown"/>
        <s v="Cincinnati Mall"/>
        <s v="Dayton Plaza"/>
        <s v="Toledo Center"/>
        <s v="Akron Superstore"/>
        <s v="Youngstown Outlet"/>
      </sharedItems>
    </cacheField>
    <cacheField name="Sales" numFmtId="164">
      <sharedItems containsSemiMixedTypes="0" containsString="0" containsNumber="1" containsInteger="1" minValue="513628" maxValue="4602437" count="7">
        <n v="4602437"/>
        <n v="1044739"/>
        <n v="513628"/>
        <n v="1831990"/>
        <n v="1258403"/>
        <n v="2749689"/>
        <n v="1013405"/>
      </sharedItems>
    </cacheField>
    <cacheField name="Gross_Profit" numFmtId="164">
      <sharedItems containsSemiMixedTypes="0" containsString="0" containsNumber="1" containsInteger="1" minValue="172671" maxValue="1994238" count="7">
        <n v="1994238"/>
        <n v="435870"/>
        <n v="172671"/>
        <n v="658493"/>
        <n v="457301"/>
        <n v="893329"/>
        <n v="431194"/>
      </sharedItems>
    </cacheField>
    <cacheField name="Total_Expenses" numFmtId="164">
      <sharedItems containsSemiMixedTypes="0" containsString="0" containsNumber="1" containsInteger="1" minValue="218018" maxValue="2167757" count="7">
        <n v="2167757"/>
        <n v="455320"/>
        <n v="218018"/>
        <n v="976753"/>
        <n v="550471"/>
        <n v="1229277"/>
        <n v="524790"/>
      </sharedItems>
    </cacheField>
    <cacheField name="Net_Income" numFmtId="164">
      <sharedItems containsSemiMixedTypes="0" containsString="0" containsNumber="1" containsInteger="1" minValue="-335948" maxValue="-19450" count="7">
        <n v="-173519"/>
        <n v="-19450"/>
        <n v="-45347"/>
        <n v="-318260"/>
        <n v="-93170"/>
        <n v="-335948"/>
        <n v="-93596"/>
      </sharedItems>
    </cacheField>
    <cacheField name="Profit_Margin" numFmtId="165">
      <sharedItems containsSemiMixedTypes="0" containsString="0" containsNumber="1" minValue="-0.173723655696811" maxValue="-1.8617090010040801E-2" count="7">
        <n v="-3.7701548114618399E-2"/>
        <n v="-1.8617090010040801E-2"/>
        <n v="-8.8287632294189594E-2"/>
        <n v="-0.173723655696811"/>
        <n v="-7.4038285032696202E-2"/>
        <n v="-0.12217672616794099"/>
        <n v="-9.2357941790301004E-2"/>
      </sharedItems>
    </cacheField>
  </cacheFields>
  <extLst>
    <ext xmlns:x14="http://schemas.microsoft.com/office/spreadsheetml/2009/9/main" uri="{725AE2AE-9491-48be-B2B4-4EB974FC3084}">
      <x14:pivotCacheDefinition pivotCacheId="140062237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13014291"/>
    <n v="1859184.42857143"/>
    <n v="4602437"/>
    <n v="513628"/>
  </r>
  <r>
    <x v="1"/>
    <n v="7971195"/>
    <n v="1138742.1428571399"/>
    <n v="2608199"/>
    <n v="340957"/>
  </r>
  <r>
    <x v="2"/>
    <n v="5043096"/>
    <n v="720442.28571428603"/>
    <n v="1994238"/>
    <n v="172671"/>
  </r>
  <r>
    <x v="3"/>
    <n v="2674138"/>
    <n v="382019.71428571403"/>
    <n v="1031659"/>
    <n v="85244"/>
  </r>
  <r>
    <x v="4"/>
    <n v="1846477"/>
    <n v="263782.42857142899"/>
    <n v="619918"/>
    <n v="74659"/>
  </r>
  <r>
    <x v="5"/>
    <n v="628083"/>
    <n v="89726.142857142899"/>
    <n v="174629"/>
    <n v="22544"/>
  </r>
  <r>
    <x v="6"/>
    <n v="248187"/>
    <n v="35455.285714285703"/>
    <n v="66092"/>
    <n v="7348"/>
  </r>
  <r>
    <x v="7"/>
    <n v="492410"/>
    <n v="70344.285714285696"/>
    <n v="194315"/>
    <n v="22037"/>
  </r>
  <r>
    <x v="8"/>
    <n v="233091"/>
    <n v="33298.714285714297"/>
    <n v="96224"/>
    <n v="6186"/>
  </r>
  <r>
    <x v="9"/>
    <n v="3758970"/>
    <n v="536995.71428571397"/>
    <n v="1328143"/>
    <n v="131996"/>
  </r>
  <r>
    <x v="10"/>
    <n v="1086718"/>
    <n v="155245.42857142899"/>
    <n v="284356"/>
    <n v="44119"/>
  </r>
  <r>
    <x v="11"/>
    <n v="-1079290"/>
    <n v="-154184.285714286"/>
    <n v="-19450"/>
    <n v="-33594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1237"/>
    <x v="0"/>
    <x v="0"/>
    <x v="0"/>
    <x v="0"/>
    <x v="0"/>
    <x v="0"/>
  </r>
  <r>
    <s v="0092"/>
    <x v="1"/>
    <x v="1"/>
    <x v="1"/>
    <x v="1"/>
    <x v="1"/>
    <x v="1"/>
  </r>
  <r>
    <s v="9229"/>
    <x v="2"/>
    <x v="2"/>
    <x v="2"/>
    <x v="2"/>
    <x v="2"/>
    <x v="2"/>
  </r>
  <r>
    <s v="8722"/>
    <x v="3"/>
    <x v="3"/>
    <x v="3"/>
    <x v="3"/>
    <x v="3"/>
    <x v="3"/>
  </r>
  <r>
    <s v="08222"/>
    <x v="4"/>
    <x v="4"/>
    <x v="4"/>
    <x v="4"/>
    <x v="4"/>
    <x v="4"/>
  </r>
  <r>
    <s v="7732"/>
    <x v="5"/>
    <x v="5"/>
    <x v="5"/>
    <x v="5"/>
    <x v="5"/>
    <x v="5"/>
  </r>
  <r>
    <s v="1141"/>
    <x v="6"/>
    <x v="6"/>
    <x v="6"/>
    <x v="6"/>
    <x v="6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046546-9D63-4ADD-8431-BE10339715BB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H17:I25" firstHeaderRow="1" firstDataRow="1" firstDataCol="1"/>
  <pivotFields count="7">
    <pivotField showAll="0"/>
    <pivotField axis="axisRow" showAll="0">
      <items count="8">
        <item x="5"/>
        <item x="2"/>
        <item x="1"/>
        <item x="0"/>
        <item x="3"/>
        <item x="4"/>
        <item x="6"/>
        <item t="default"/>
      </items>
    </pivotField>
    <pivotField numFmtId="164" showAll="0"/>
    <pivotField dataField="1" numFmtId="164" showAll="0"/>
    <pivotField numFmtId="164" showAll="0"/>
    <pivotField numFmtId="164" showAll="0"/>
    <pivotField numFmtId="165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Gross_Profit" fld="3" showDataAs="percentOfTotal" baseField="0" baseItem="0" numFmtId="1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4305BE-90F9-47C2-9F5F-8132AED571E6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E17:F25" firstHeaderRow="1" firstDataRow="1" firstDataCol="1"/>
  <pivotFields count="7">
    <pivotField showAll="0"/>
    <pivotField axis="axisRow" showAll="0">
      <items count="8">
        <item x="5"/>
        <item x="2"/>
        <item x="1"/>
        <item x="0"/>
        <item x="3"/>
        <item x="4"/>
        <item x="6"/>
        <item t="default"/>
      </items>
    </pivotField>
    <pivotField numFmtId="164" showAll="0"/>
    <pivotField numFmtId="164" showAll="0">
      <items count="8">
        <item x="2"/>
        <item x="6"/>
        <item x="1"/>
        <item x="4"/>
        <item x="3"/>
        <item x="5"/>
        <item x="0"/>
        <item t="default"/>
      </items>
    </pivotField>
    <pivotField dataField="1" numFmtId="164" showAll="0"/>
    <pivotField numFmtId="164" showAll="0"/>
    <pivotField numFmtId="165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_Expenses" fld="4" baseField="0" baseItem="0" numFmtId="164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99DE0F-1234-4AF1-A5DC-F0E6AA4CAD57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B17:C25" firstHeaderRow="1" firstDataRow="1" firstDataCol="1"/>
  <pivotFields count="7">
    <pivotField showAll="0"/>
    <pivotField axis="axisRow" showAll="0">
      <items count="8">
        <item x="5"/>
        <item x="2"/>
        <item x="1"/>
        <item x="0"/>
        <item x="3"/>
        <item x="4"/>
        <item x="6"/>
        <item t="default"/>
      </items>
    </pivotField>
    <pivotField dataField="1" numFmtId="164" showAll="0"/>
    <pivotField numFmtId="164" showAll="0"/>
    <pivotField numFmtId="164" showAll="0"/>
    <pivotField numFmtId="164" showAll="0"/>
    <pivotField numFmtId="165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2" baseField="0" baseItem="0" numFmtId="164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6E51A9-6DD2-4E87-9ADC-A87045B5D2B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19:C32" firstHeaderRow="1" firstDataRow="1" firstDataCol="1"/>
  <pivotFields count="5">
    <pivotField axis="axisRow" showAll="0">
      <items count="13">
        <item x="10"/>
        <item x="1"/>
        <item x="8"/>
        <item x="2"/>
        <item x="9"/>
        <item x="7"/>
        <item x="11"/>
        <item x="3"/>
        <item x="5"/>
        <item x="4"/>
        <item x="0"/>
        <item x="6"/>
        <item t="default"/>
      </items>
    </pivotField>
    <pivotField dataField="1" numFmtId="164" showAll="0"/>
    <pivotField numFmtId="164" showAll="0"/>
    <pivotField numFmtId="164" showAll="0"/>
    <pivotField numFmtId="164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" fld="1" baseField="0" baseItem="0" numFmtId="164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18ED74-0F3C-47D1-B0D0-229C93ADD2C1}" name="Table2" displayName="Table2" ref="A3:G10" totalsRowShown="0">
  <autoFilter ref="A3:G10" xr:uid="{2B18ED74-0F3C-47D1-B0D0-229C93ADD2C1}"/>
  <tableColumns count="7">
    <tableColumn id="1" xr3:uid="{E586929D-D688-4072-A4F0-9D1A96D974F7}" name="Store_ID"/>
    <tableColumn id="2" xr3:uid="{92A1C54D-198C-43DB-8BEE-F6CC3001C51A}" name="Store_Name"/>
    <tableColumn id="3" xr3:uid="{C3AB942B-3C63-49F1-AE74-99272E55D04C}" name="Sales"/>
    <tableColumn id="4" xr3:uid="{BD4033F8-0463-41E2-AFCC-C05AA471ACAE}" name="Gross_Profit"/>
    <tableColumn id="5" xr3:uid="{2309057B-BEAC-4E8E-BD74-FA0873A684F8}" name="Total_Expenses"/>
    <tableColumn id="6" xr3:uid="{89F90EBD-6193-4D3F-A360-1C2D17B16B79}" name="Net_Income"/>
    <tableColumn id="7" xr3:uid="{DE88B323-6B35-431B-8BB9-96AD9D0EE2AF}" name="Profit_Marg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833FF-CD59-4D06-A4D9-26E6A7BC8505}">
  <sheetPr codeName="Sheet1"/>
  <dimension ref="B2:H44"/>
  <sheetViews>
    <sheetView showGridLines="0" tabSelected="1" topLeftCell="A16" workbookViewId="0">
      <selection activeCell="M22" sqref="M22"/>
    </sheetView>
  </sheetViews>
  <sheetFormatPr defaultColWidth="15" defaultRowHeight="14.4" x14ac:dyDescent="0.3"/>
  <cols>
    <col min="1" max="16384" width="15" style="1"/>
  </cols>
  <sheetData>
    <row r="2" spans="2:8" ht="34.799999999999997" x14ac:dyDescent="0.3">
      <c r="B2" s="43" t="s">
        <v>21</v>
      </c>
      <c r="C2" s="43"/>
      <c r="D2" s="43"/>
      <c r="E2" s="43"/>
      <c r="F2" s="43"/>
      <c r="G2" s="43"/>
      <c r="H2" s="43"/>
    </row>
    <row r="3" spans="2:8" ht="20.399999999999999" x14ac:dyDescent="0.3">
      <c r="B3" s="44" t="s">
        <v>22</v>
      </c>
      <c r="C3" s="44"/>
      <c r="D3" s="44"/>
      <c r="E3" s="44"/>
      <c r="F3" s="44"/>
      <c r="G3" s="44"/>
      <c r="H3" s="44"/>
    </row>
    <row r="4" spans="2:8" x14ac:dyDescent="0.3">
      <c r="C4" s="46" t="s">
        <v>54</v>
      </c>
      <c r="D4" s="46"/>
      <c r="E4" s="46"/>
      <c r="F4" s="46"/>
      <c r="G4" s="46"/>
      <c r="H4" s="46"/>
    </row>
    <row r="6" spans="2:8" ht="17.399999999999999" x14ac:dyDescent="0.3">
      <c r="B6" s="2" t="s">
        <v>23</v>
      </c>
    </row>
    <row r="8" spans="2:8" x14ac:dyDescent="0.3">
      <c r="B8" s="1" t="s">
        <v>24</v>
      </c>
      <c r="C8" s="3" t="s">
        <v>25</v>
      </c>
    </row>
    <row r="9" spans="2:8" x14ac:dyDescent="0.3">
      <c r="B9" s="1" t="s">
        <v>26</v>
      </c>
      <c r="C9" s="3" t="s">
        <v>27</v>
      </c>
    </row>
    <row r="10" spans="2:8" x14ac:dyDescent="0.3">
      <c r="B10" s="1" t="s">
        <v>28</v>
      </c>
      <c r="C10" s="3" t="s">
        <v>29</v>
      </c>
    </row>
    <row r="13" spans="2:8" ht="17.399999999999999" x14ac:dyDescent="0.3">
      <c r="B13" s="2" t="s">
        <v>30</v>
      </c>
    </row>
    <row r="15" spans="2:8" x14ac:dyDescent="0.3">
      <c r="B15" s="45" t="s">
        <v>108</v>
      </c>
      <c r="C15" s="45"/>
      <c r="D15" s="45"/>
      <c r="E15" s="45"/>
      <c r="F15" s="45"/>
      <c r="G15" s="45"/>
      <c r="H15" s="45"/>
    </row>
    <row r="16" spans="2:8" x14ac:dyDescent="0.3">
      <c r="B16" s="45"/>
      <c r="C16" s="45"/>
      <c r="D16" s="45"/>
      <c r="E16" s="45"/>
      <c r="F16" s="45"/>
      <c r="G16" s="45"/>
      <c r="H16" s="45"/>
    </row>
    <row r="17" spans="2:8" x14ac:dyDescent="0.3">
      <c r="B17" s="45"/>
      <c r="C17" s="45"/>
      <c r="D17" s="45"/>
      <c r="E17" s="45"/>
      <c r="F17" s="45"/>
      <c r="G17" s="45"/>
      <c r="H17" s="45"/>
    </row>
    <row r="18" spans="2:8" x14ac:dyDescent="0.3">
      <c r="B18" s="45"/>
      <c r="C18" s="45"/>
      <c r="D18" s="45"/>
      <c r="E18" s="45"/>
      <c r="F18" s="45"/>
      <c r="G18" s="45"/>
      <c r="H18" s="45"/>
    </row>
    <row r="20" spans="2:8" ht="17.399999999999999" x14ac:dyDescent="0.3">
      <c r="B20" s="2" t="s">
        <v>31</v>
      </c>
    </row>
    <row r="22" spans="2:8" ht="27.6" x14ac:dyDescent="0.3">
      <c r="B22" s="4" t="s">
        <v>32</v>
      </c>
      <c r="C22" s="4" t="s">
        <v>33</v>
      </c>
      <c r="D22" s="4" t="s">
        <v>34</v>
      </c>
      <c r="E22" s="4" t="s">
        <v>35</v>
      </c>
    </row>
    <row r="23" spans="2:8" ht="65.400000000000006" customHeight="1" x14ac:dyDescent="0.3">
      <c r="B23" s="5" t="s">
        <v>36</v>
      </c>
      <c r="C23" s="5" t="s">
        <v>37</v>
      </c>
      <c r="D23" s="6" t="s">
        <v>38</v>
      </c>
      <c r="E23" s="5" t="s">
        <v>39</v>
      </c>
    </row>
    <row r="24" spans="2:8" ht="65.400000000000006" customHeight="1" x14ac:dyDescent="0.3">
      <c r="B24" s="5" t="s">
        <v>40</v>
      </c>
      <c r="C24" s="5" t="s">
        <v>41</v>
      </c>
      <c r="D24" s="6" t="s">
        <v>42</v>
      </c>
      <c r="E24" s="5" t="s">
        <v>39</v>
      </c>
    </row>
    <row r="25" spans="2:8" ht="65.400000000000006" customHeight="1" x14ac:dyDescent="0.3">
      <c r="B25" s="5" t="s">
        <v>43</v>
      </c>
      <c r="C25" s="5" t="s">
        <v>44</v>
      </c>
      <c r="D25" s="6" t="s">
        <v>45</v>
      </c>
      <c r="E25" s="5" t="s">
        <v>46</v>
      </c>
    </row>
    <row r="28" spans="2:8" ht="17.399999999999999" x14ac:dyDescent="0.3">
      <c r="B28" s="7" t="s">
        <v>47</v>
      </c>
    </row>
    <row r="30" spans="2:8" x14ac:dyDescent="0.3">
      <c r="B30" s="8" t="s">
        <v>48</v>
      </c>
    </row>
    <row r="31" spans="2:8" x14ac:dyDescent="0.3">
      <c r="B31" s="8" t="s">
        <v>49</v>
      </c>
    </row>
    <row r="32" spans="2:8" x14ac:dyDescent="0.3">
      <c r="B32" s="8" t="s">
        <v>50</v>
      </c>
    </row>
    <row r="33" spans="2:2" x14ac:dyDescent="0.3">
      <c r="B33" s="8" t="s">
        <v>51</v>
      </c>
    </row>
    <row r="34" spans="2:2" x14ac:dyDescent="0.3">
      <c r="B34" s="8" t="s">
        <v>52</v>
      </c>
    </row>
    <row r="35" spans="2:2" x14ac:dyDescent="0.3">
      <c r="B35" s="8" t="s">
        <v>53</v>
      </c>
    </row>
    <row r="38" spans="2:2" x14ac:dyDescent="0.3">
      <c r="B38" s="21" t="s">
        <v>122</v>
      </c>
    </row>
    <row r="39" spans="2:2" x14ac:dyDescent="0.3">
      <c r="B39"/>
    </row>
    <row r="40" spans="2:2" x14ac:dyDescent="0.3">
      <c r="B40" s="22" t="s">
        <v>123</v>
      </c>
    </row>
    <row r="41" spans="2:2" x14ac:dyDescent="0.3">
      <c r="B41"/>
    </row>
    <row r="42" spans="2:2" x14ac:dyDescent="0.3">
      <c r="B42" s="22" t="s">
        <v>124</v>
      </c>
    </row>
    <row r="43" spans="2:2" x14ac:dyDescent="0.3">
      <c r="B43"/>
    </row>
    <row r="44" spans="2:2" x14ac:dyDescent="0.3">
      <c r="B44" s="22" t="s">
        <v>125</v>
      </c>
    </row>
  </sheetData>
  <mergeCells count="4">
    <mergeCell ref="B2:H2"/>
    <mergeCell ref="B3:H3"/>
    <mergeCell ref="B15:H18"/>
    <mergeCell ref="C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1FC9C-50C1-4FFF-A4EF-8ADBF12A7EA9}">
  <sheetPr codeName="Sheet2">
    <tabColor rgb="FFFFFF99"/>
  </sheetPr>
  <dimension ref="A1:J34"/>
  <sheetViews>
    <sheetView showGridLines="0" topLeftCell="A19" workbookViewId="0">
      <selection activeCell="C36" sqref="C36"/>
    </sheetView>
  </sheetViews>
  <sheetFormatPr defaultRowHeight="14.4" x14ac:dyDescent="0.3"/>
  <cols>
    <col min="1" max="1" width="11.5546875" customWidth="1"/>
    <col min="2" max="2" width="17.88671875" customWidth="1"/>
    <col min="3" max="3" width="14.77734375" customWidth="1"/>
    <col min="4" max="4" width="22.33203125" customWidth="1"/>
    <col min="5" max="5" width="14" customWidth="1"/>
    <col min="6" max="6" width="9.6640625" bestFit="1" customWidth="1"/>
    <col min="9" max="9" width="26.21875" customWidth="1"/>
  </cols>
  <sheetData>
    <row r="1" spans="1:10" x14ac:dyDescent="0.3">
      <c r="A1" s="1" t="s">
        <v>69</v>
      </c>
      <c r="B1" s="1"/>
      <c r="C1" s="1"/>
      <c r="D1" s="1"/>
      <c r="E1" s="1"/>
      <c r="F1" s="1"/>
      <c r="G1" s="1"/>
      <c r="H1" s="1"/>
      <c r="I1" s="1"/>
    </row>
    <row r="2" spans="1:10" ht="24.6" x14ac:dyDescent="0.3">
      <c r="B2" s="48" t="s">
        <v>55</v>
      </c>
      <c r="C2" s="48"/>
      <c r="D2" s="48"/>
      <c r="E2" s="48"/>
      <c r="F2" s="48"/>
      <c r="G2" s="48"/>
      <c r="H2" s="48"/>
      <c r="I2" s="48"/>
      <c r="J2" s="48"/>
    </row>
    <row r="3" spans="1:10" x14ac:dyDescent="0.3">
      <c r="A3" s="1"/>
      <c r="B3" s="1"/>
      <c r="C3" s="1"/>
      <c r="D3" s="1"/>
      <c r="E3" s="1"/>
      <c r="F3" s="1"/>
      <c r="G3" s="1"/>
      <c r="H3" s="1"/>
      <c r="I3" s="1"/>
    </row>
    <row r="4" spans="1:10" ht="14.4" customHeight="1" x14ac:dyDescent="0.3">
      <c r="B4" s="49" t="s">
        <v>56</v>
      </c>
      <c r="C4" s="49"/>
      <c r="D4" s="49"/>
      <c r="E4" s="49"/>
      <c r="F4" s="49"/>
      <c r="G4" s="49"/>
      <c r="H4" s="49"/>
    </row>
    <row r="5" spans="1:10" x14ac:dyDescent="0.3">
      <c r="B5" s="49"/>
      <c r="C5" s="49"/>
      <c r="D5" s="49"/>
      <c r="E5" s="49"/>
      <c r="F5" s="49"/>
      <c r="G5" s="49"/>
      <c r="H5" s="49"/>
    </row>
    <row r="6" spans="1:10" x14ac:dyDescent="0.3">
      <c r="B6" s="49"/>
      <c r="C6" s="49"/>
      <c r="D6" s="49"/>
      <c r="E6" s="49"/>
      <c r="F6" s="49"/>
      <c r="G6" s="49"/>
      <c r="H6" s="49"/>
    </row>
    <row r="7" spans="1:10" x14ac:dyDescent="0.3">
      <c r="B7" s="49"/>
      <c r="C7" s="49"/>
      <c r="D7" s="49"/>
      <c r="E7" s="49"/>
      <c r="F7" s="49"/>
      <c r="G7" s="49"/>
      <c r="H7" s="49"/>
    </row>
    <row r="8" spans="1:10" x14ac:dyDescent="0.3">
      <c r="A8" s="1"/>
      <c r="B8" s="1"/>
      <c r="C8" s="1"/>
      <c r="D8" s="1"/>
      <c r="E8" s="1"/>
      <c r="F8" s="1"/>
      <c r="G8" s="1"/>
      <c r="H8" s="1"/>
      <c r="I8" s="1"/>
    </row>
    <row r="9" spans="1:10" ht="17.399999999999999" x14ac:dyDescent="0.3">
      <c r="B9" s="9" t="s">
        <v>57</v>
      </c>
      <c r="C9" s="1"/>
      <c r="D9" s="1"/>
      <c r="E9" s="1"/>
      <c r="F9" s="1"/>
      <c r="G9" s="1"/>
      <c r="H9" s="1"/>
      <c r="I9" s="1"/>
    </row>
    <row r="10" spans="1:10" x14ac:dyDescent="0.3">
      <c r="B10" s="1"/>
      <c r="C10" s="1"/>
      <c r="D10" s="1"/>
      <c r="E10" s="1"/>
      <c r="F10" s="1"/>
      <c r="G10" s="1"/>
      <c r="H10" s="1"/>
      <c r="I10" s="1"/>
    </row>
    <row r="11" spans="1:10" x14ac:dyDescent="0.3">
      <c r="B11" s="4" t="s">
        <v>58</v>
      </c>
      <c r="C11" s="4" t="s">
        <v>3</v>
      </c>
      <c r="D11" s="4" t="s">
        <v>59</v>
      </c>
      <c r="E11" s="4" t="s">
        <v>60</v>
      </c>
      <c r="F11" s="1"/>
      <c r="G11" s="1"/>
      <c r="H11" s="1"/>
      <c r="I11" s="1"/>
    </row>
    <row r="12" spans="1:10" ht="20.399999999999999" customHeight="1" x14ac:dyDescent="0.3">
      <c r="B12" s="5" t="s">
        <v>13</v>
      </c>
      <c r="C12" s="6" t="s">
        <v>0</v>
      </c>
      <c r="D12" s="10">
        <f>INDEX('Financial data'!$C$5:$I$16, MATCH('Exercise 1'!C12,'Financial data'!$B$5:$B$16,0), MATCH('Exercise 1'!B12,'Financial data'!$C$4:$I$4,0))</f>
        <v>4602437</v>
      </c>
      <c r="E12" s="11">
        <f>D12</f>
        <v>4602437</v>
      </c>
      <c r="F12" s="1"/>
      <c r="G12" s="1"/>
      <c r="H12" s="1"/>
      <c r="I12" s="1"/>
    </row>
    <row r="13" spans="1:10" ht="20.399999999999999" customHeight="1" x14ac:dyDescent="0.3">
      <c r="B13" s="5" t="s">
        <v>9</v>
      </c>
      <c r="C13" s="6" t="s">
        <v>61</v>
      </c>
      <c r="D13" s="10">
        <f>INDEX('Financial data'!$C$5:$I$16, MATCH('Exercise 1'!C13,'Financial data'!$B$5:$B$16,0), MATCH('Exercise 1'!B13,'Financial data'!$C$4:$I$4,0))</f>
        <v>-19450</v>
      </c>
      <c r="E13" s="11">
        <f t="shared" ref="E13:E18" si="0">D13</f>
        <v>-19450</v>
      </c>
      <c r="F13" s="1"/>
      <c r="G13" s="1"/>
      <c r="H13" s="1"/>
      <c r="I13" s="1"/>
    </row>
    <row r="14" spans="1:10" ht="20.399999999999999" customHeight="1" x14ac:dyDescent="0.3">
      <c r="B14" s="5" t="s">
        <v>19</v>
      </c>
      <c r="C14" s="6" t="s">
        <v>62</v>
      </c>
      <c r="D14" s="10">
        <f>INDEX('Financial data'!$C$5:$I$16, MATCH('Exercise 1'!C14,'Financial data'!$B$5:$B$16,0), MATCH('Exercise 1'!B14,'Financial data'!$C$4:$I$4,0))</f>
        <v>131996</v>
      </c>
      <c r="E14" s="11">
        <f t="shared" si="0"/>
        <v>131996</v>
      </c>
      <c r="F14" s="1"/>
      <c r="G14" s="1"/>
      <c r="H14" s="1"/>
      <c r="I14" s="1"/>
    </row>
    <row r="15" spans="1:10" ht="20.399999999999999" customHeight="1" x14ac:dyDescent="0.3">
      <c r="B15" s="5" t="s">
        <v>17</v>
      </c>
      <c r="C15" s="6" t="s">
        <v>63</v>
      </c>
      <c r="D15" s="10">
        <f>INDEX('Financial data'!$C$5:$I$16, MATCH('Exercise 1'!C15,'Financial data'!$B$5:$B$16,0), MATCH('Exercise 1'!B15,'Financial data'!$C$4:$I$4,0))</f>
        <v>658493</v>
      </c>
      <c r="E15" s="11">
        <f t="shared" si="0"/>
        <v>658493</v>
      </c>
      <c r="F15" s="1"/>
      <c r="G15" s="1"/>
      <c r="H15" s="1"/>
      <c r="I15" s="1"/>
    </row>
    <row r="16" spans="1:10" ht="20.399999999999999" customHeight="1" x14ac:dyDescent="0.3">
      <c r="B16" s="5" t="s">
        <v>64</v>
      </c>
      <c r="C16" s="6" t="s">
        <v>65</v>
      </c>
      <c r="D16" s="10">
        <f>INDEX('Financial data'!$C$5:$I$16, MATCH('Exercise 1'!C16,'Financial data'!$B$5:$B$16,0), MATCH('Exercise 1'!B16,'Financial data'!$C$4:$I$4,0))</f>
        <v>801102</v>
      </c>
      <c r="E16" s="11">
        <f t="shared" si="0"/>
        <v>801102</v>
      </c>
      <c r="F16" s="1"/>
      <c r="G16" s="1"/>
      <c r="H16" s="1"/>
      <c r="I16" s="1"/>
    </row>
    <row r="17" spans="1:9" ht="20.399999999999999" customHeight="1" x14ac:dyDescent="0.3">
      <c r="B17" s="5" t="s">
        <v>15</v>
      </c>
      <c r="C17" s="6" t="s">
        <v>0</v>
      </c>
      <c r="D17" s="10">
        <f>INDEX('Financial data'!$C$5:$I$16, MATCH('Exercise 1'!C17,'Financial data'!$B$5:$B$16,0), MATCH('Exercise 1'!B17,'Financial data'!$C$4:$I$4,0))</f>
        <v>2749689</v>
      </c>
      <c r="E17" s="11">
        <f t="shared" si="0"/>
        <v>2749689</v>
      </c>
      <c r="F17" s="1"/>
      <c r="G17" s="1"/>
      <c r="H17" s="1"/>
      <c r="I17" s="1"/>
    </row>
    <row r="18" spans="1:9" ht="20.399999999999999" customHeight="1" x14ac:dyDescent="0.3">
      <c r="B18" s="5" t="s">
        <v>11</v>
      </c>
      <c r="C18" s="6" t="s">
        <v>61</v>
      </c>
      <c r="D18" s="10">
        <f>INDEX('Financial data'!$C$5:$I$16, MATCH('Exercise 1'!C18,'Financial data'!$B$5:$B$16,0), MATCH('Exercise 1'!B18,'Financial data'!$C$4:$I$4,0))</f>
        <v>-93596</v>
      </c>
      <c r="E18" s="11">
        <f t="shared" si="0"/>
        <v>-93596</v>
      </c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ht="17.399999999999999" x14ac:dyDescent="0.3">
      <c r="B21" s="9" t="s">
        <v>66</v>
      </c>
      <c r="C21" s="1"/>
      <c r="D21" s="1"/>
      <c r="E21" s="1"/>
      <c r="F21" s="1"/>
      <c r="G21" s="1"/>
      <c r="H21" s="1"/>
      <c r="I21" s="1"/>
    </row>
    <row r="22" spans="1:9" x14ac:dyDescent="0.3">
      <c r="A22" s="1"/>
      <c r="B22" s="1"/>
      <c r="C22" s="1"/>
      <c r="D22" s="1"/>
      <c r="E22" s="1"/>
      <c r="F22" s="1"/>
      <c r="G22" s="1"/>
      <c r="H22" s="1"/>
      <c r="I22" s="1"/>
    </row>
    <row r="23" spans="1:9" ht="14.4" customHeight="1" x14ac:dyDescent="0.3">
      <c r="B23" s="50" t="s">
        <v>67</v>
      </c>
      <c r="C23" s="51"/>
      <c r="D23" s="51"/>
      <c r="E23" s="51"/>
      <c r="F23" s="51"/>
      <c r="G23" s="51"/>
      <c r="H23" s="51"/>
    </row>
    <row r="24" spans="1:9" x14ac:dyDescent="0.3">
      <c r="B24" s="52"/>
      <c r="C24" s="49"/>
      <c r="D24" s="49"/>
      <c r="E24" s="49"/>
      <c r="F24" s="49"/>
      <c r="G24" s="49"/>
      <c r="H24" s="49"/>
    </row>
    <row r="25" spans="1:9" x14ac:dyDescent="0.3">
      <c r="B25" s="52"/>
      <c r="C25" s="49"/>
      <c r="D25" s="49"/>
      <c r="E25" s="49"/>
      <c r="F25" s="49"/>
      <c r="G25" s="49"/>
      <c r="H25" s="49"/>
    </row>
    <row r="26" spans="1:9" x14ac:dyDescent="0.3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3">
      <c r="B27" s="4" t="s">
        <v>68</v>
      </c>
      <c r="C27" s="4" t="s">
        <v>13</v>
      </c>
      <c r="D27" s="4" t="s">
        <v>9</v>
      </c>
      <c r="E27" s="4" t="s">
        <v>19</v>
      </c>
      <c r="F27" s="4" t="s">
        <v>17</v>
      </c>
      <c r="G27" s="1"/>
      <c r="H27" s="1"/>
      <c r="I27" s="1"/>
    </row>
    <row r="28" spans="1:9" ht="27" customHeight="1" x14ac:dyDescent="0.3">
      <c r="B28" s="12" t="s">
        <v>0</v>
      </c>
      <c r="C28" s="13">
        <f>INDEX('Financial data'!$C$5:$F$16,MATCH('Exercise 1'!B28,'Financial data'!$B$5:$B$16,0), MATCH('Exercise 1'!C27,'Financial data'!$C$4:$F$4,0))</f>
        <v>4602437</v>
      </c>
      <c r="D28" s="13">
        <f>INDEX('Financial data'!$C$5:$F$16,MATCH('Exercise 1'!B28,'Financial data'!$B$5:$B$16,0), MATCH('Exercise 1'!D27,'Financial data'!$C$4:$F$4,0))</f>
        <v>1044739</v>
      </c>
      <c r="E28" s="13">
        <f>INDEX('Financial data'!$C$5:$F$16,MATCH('Exercise 1'!B28,'Financial data'!$B$5:$B$16,0), MATCH('Exercise 1'!E27,'Financial data'!$C$4:$F$4,0))</f>
        <v>513628</v>
      </c>
      <c r="F28" s="13">
        <f>INDEX('Financial data'!$C$5:$F$16,MATCH('Exercise 1'!B28,'Financial data'!$B$5:$B$16,0), MATCH('Exercise 1'!F27,'Financial data'!$C$4:$F$4,0))</f>
        <v>1831990</v>
      </c>
      <c r="G28" s="1"/>
      <c r="H28" s="1"/>
      <c r="I28" s="1"/>
    </row>
    <row r="29" spans="1:9" ht="27" customHeight="1" x14ac:dyDescent="0.3">
      <c r="B29" s="15" t="s">
        <v>65</v>
      </c>
      <c r="C29" s="13">
        <f>INDEX('Financial data'!$C$5:$F$16,MATCH(B29,'Financial data'!$B$5:$B$16,0), MATCH('Exercise 1'!C27,'Financial data'!$C$4:$F$4,0))</f>
        <v>2608199</v>
      </c>
      <c r="D29" s="13">
        <f>INDEX('Financial data'!$C$5:$F$16,MATCH(B29,'Financial data'!$B$5:$B$16,0), MATCH('Exercise 1'!D27,'Financial data'!$C$4:$F$4,0))</f>
        <v>608869</v>
      </c>
      <c r="E29" s="13">
        <f>INDEX('Financial data'!$C$5:$F$16,MATCH(B29,'Financial data'!$B$5:$B$16,0), MATCH('Exercise 1'!E27,'Financial data'!$C$4:$F$4,0))</f>
        <v>340957</v>
      </c>
      <c r="F29" s="13">
        <f>INDEX('Financial data'!$C$5:$F$16,MATCH(B29,'Financial data'!$B$5:$B$16,0), MATCH('Exercise 1'!F27,'Financial data'!$C$4:$F$4,0))</f>
        <v>1173497</v>
      </c>
      <c r="G29" s="1"/>
      <c r="H29" s="1"/>
      <c r="I29" s="1"/>
    </row>
    <row r="30" spans="1:9" ht="27" customHeight="1" x14ac:dyDescent="0.3">
      <c r="B30" s="12" t="s">
        <v>63</v>
      </c>
      <c r="C30" s="13">
        <f>INDEX('Financial data'!$C$5:$F$16,MATCH(B30,'Financial data'!$B$5:$B$16,0), MATCH('Exercise 1'!C27,'Financial data'!$C$4:$F$4,0))</f>
        <v>1994238</v>
      </c>
      <c r="D30" s="13">
        <f>INDEX('Financial data'!$C$5:$F$16,MATCH(B30,'Financial data'!$B$5:$B$16,0), MATCH('Exercise 1'!D27,'Financial data'!$C$4:$F$4,0))</f>
        <v>435870</v>
      </c>
      <c r="E30" s="13">
        <f>INDEX('Financial data'!$C$5:$F$16,MATCH(B30,'Financial data'!$B$5:$B$16,0), MATCH('Exercise 1'!E27,'Financial data'!$C$4:$F$4,0))</f>
        <v>172671</v>
      </c>
      <c r="F30" s="13">
        <f>INDEX('Financial data'!$C$5:$F$16,MATCH(B30,'Financial data'!$B$5:$B$16,0), MATCH('Exercise 1'!F27,'Financial data'!$C$4:$F$4,0))</f>
        <v>658493</v>
      </c>
      <c r="G30" s="1"/>
      <c r="H30" s="1"/>
      <c r="I30" s="1"/>
    </row>
    <row r="31" spans="1:9" ht="27" customHeight="1" x14ac:dyDescent="0.3">
      <c r="B31" s="15" t="s">
        <v>91</v>
      </c>
      <c r="C31" s="13">
        <f>INDEX('Financial data'!$C$5:$F$16,MATCH(B31,'Financial data'!$B$5:$B$16,0), MATCH('Exercise 1'!C27,'Financial data'!$C$4:$F$4,0))</f>
        <v>1031659</v>
      </c>
      <c r="D31" s="13">
        <f>INDEX('Financial data'!$C$5:$F$16,MATCH(B31,'Financial data'!$B$5:$B$16,0), MATCH('Exercise 1'!D27,'Financial data'!$C$4:$F$4,0))</f>
        <v>209507</v>
      </c>
      <c r="E31" s="13">
        <f>INDEX('Financial data'!$C$5:$F$16,MATCH(B31,'Financial data'!$B$5:$B$16,0), MATCH('Exercise 1'!E27,'Financial data'!$C$4:$F$4,0))</f>
        <v>85244</v>
      </c>
      <c r="F31" s="13">
        <f>INDEX('Financial data'!$C$5:$F$16,MATCH(B31,'Financial data'!$B$5:$B$16,0), MATCH('Exercise 1'!F27,'Financial data'!$C$4:$F$4,0))</f>
        <v>422663</v>
      </c>
      <c r="G31" s="1"/>
      <c r="H31" s="1"/>
      <c r="I31" s="1"/>
    </row>
    <row r="32" spans="1:9" ht="27" customHeight="1" x14ac:dyDescent="0.3">
      <c r="B32" s="12" t="s">
        <v>61</v>
      </c>
      <c r="C32" s="13">
        <f>INDEX('Financial data'!$C$5:$F$16,MATCH(B32,'Financial data'!$B$5:$B$16,0), MATCH('Exercise 1'!C27,'Financial data'!$C$4:$F$4,0))</f>
        <v>-173519</v>
      </c>
      <c r="D32" s="13">
        <f>INDEX('Financial data'!$C$5:$F$16,MATCH(B32,'Financial data'!$B$5:$B$16,0), MATCH('Exercise 1'!D27,'Financial data'!$C$4:$F$4,0))</f>
        <v>-19450</v>
      </c>
      <c r="E32" s="13">
        <f>INDEX('Financial data'!$C$5:$F$16,MATCH(B32,'Financial data'!$B$5:$B$16,0), MATCH('Exercise 1'!E27,'Financial data'!$C$4:$F$4,0))</f>
        <v>-45347</v>
      </c>
      <c r="F32" s="13">
        <f>INDEX('Financial data'!$C$5:$F$16,MATCH(B32,'Financial data'!$B$5:$B$16,0), MATCH('Exercise 1'!F27,'Financial data'!$C$4:$F$4,0))</f>
        <v>-318260</v>
      </c>
      <c r="G32" s="1"/>
      <c r="H32" s="1"/>
      <c r="I32" s="1"/>
    </row>
    <row r="34" spans="2:7" x14ac:dyDescent="0.3">
      <c r="B34" s="47" t="s">
        <v>54</v>
      </c>
      <c r="C34" s="47"/>
      <c r="D34" s="47"/>
      <c r="E34" s="47"/>
      <c r="F34" s="47"/>
      <c r="G34" s="47"/>
    </row>
  </sheetData>
  <mergeCells count="4">
    <mergeCell ref="B34:G34"/>
    <mergeCell ref="B2:J2"/>
    <mergeCell ref="B4:H7"/>
    <mergeCell ref="B23:H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76677-3023-4D53-A51B-40DF0216E7CF}">
  <sheetPr codeName="Sheet3">
    <tabColor rgb="FFFFFF99"/>
  </sheetPr>
  <dimension ref="B1:J49"/>
  <sheetViews>
    <sheetView showGridLines="0" workbookViewId="0">
      <selection activeCell="K14" sqref="K14"/>
    </sheetView>
  </sheetViews>
  <sheetFormatPr defaultColWidth="11" defaultRowHeight="14.4" x14ac:dyDescent="0.3"/>
  <cols>
    <col min="3" max="3" width="23.5546875" customWidth="1"/>
    <col min="4" max="4" width="20.88671875" customWidth="1"/>
    <col min="5" max="5" width="14.88671875" customWidth="1"/>
  </cols>
  <sheetData>
    <row r="1" spans="2:10" ht="24.6" x14ac:dyDescent="0.3">
      <c r="B1" s="48" t="s">
        <v>70</v>
      </c>
      <c r="C1" s="48"/>
      <c r="D1" s="48"/>
      <c r="E1" s="48"/>
      <c r="F1" s="48"/>
      <c r="G1" s="48"/>
      <c r="H1" s="48"/>
      <c r="I1" s="48"/>
      <c r="J1" s="48"/>
    </row>
    <row r="2" spans="2:10" x14ac:dyDescent="0.3">
      <c r="B2" s="1"/>
      <c r="C2" s="1"/>
      <c r="D2" s="1"/>
      <c r="E2" s="1"/>
      <c r="F2" s="1"/>
      <c r="G2" s="1"/>
      <c r="H2" s="1"/>
      <c r="I2" s="1"/>
      <c r="J2" s="1"/>
    </row>
    <row r="3" spans="2:10" ht="14.4" customHeight="1" x14ac:dyDescent="0.3">
      <c r="B3" s="54" t="s">
        <v>71</v>
      </c>
      <c r="C3" s="55"/>
      <c r="D3" s="55"/>
      <c r="E3" s="55"/>
      <c r="F3" s="55"/>
      <c r="G3" s="55"/>
      <c r="H3" s="55"/>
      <c r="I3" s="55"/>
    </row>
    <row r="4" spans="2:10" x14ac:dyDescent="0.3">
      <c r="B4" s="56"/>
      <c r="C4" s="57"/>
      <c r="D4" s="57"/>
      <c r="E4" s="57"/>
      <c r="F4" s="57"/>
      <c r="G4" s="57"/>
      <c r="H4" s="57"/>
      <c r="I4" s="57"/>
    </row>
    <row r="5" spans="2:10" x14ac:dyDescent="0.3">
      <c r="B5" s="56"/>
      <c r="C5" s="57"/>
      <c r="D5" s="57"/>
      <c r="E5" s="57"/>
      <c r="F5" s="57"/>
      <c r="G5" s="57"/>
      <c r="H5" s="57"/>
      <c r="I5" s="57"/>
    </row>
    <row r="6" spans="2:10" x14ac:dyDescent="0.3">
      <c r="B6" s="56"/>
      <c r="C6" s="57"/>
      <c r="D6" s="57"/>
      <c r="E6" s="57"/>
      <c r="F6" s="57"/>
      <c r="G6" s="57"/>
      <c r="H6" s="57"/>
      <c r="I6" s="57"/>
    </row>
    <row r="7" spans="2:10" x14ac:dyDescent="0.3">
      <c r="B7" s="1"/>
      <c r="C7" s="1"/>
      <c r="D7" s="1"/>
      <c r="E7" s="1"/>
      <c r="F7" s="1"/>
      <c r="G7" s="1"/>
      <c r="H7" s="1"/>
      <c r="I7" s="1"/>
      <c r="J7" s="1"/>
    </row>
    <row r="8" spans="2:10" ht="17.399999999999999" x14ac:dyDescent="0.3">
      <c r="B8" s="9" t="s">
        <v>72</v>
      </c>
      <c r="C8" s="1"/>
      <c r="D8" s="1"/>
      <c r="E8" s="1"/>
      <c r="F8" s="1"/>
      <c r="G8" s="1"/>
      <c r="H8" s="1"/>
      <c r="I8" s="1"/>
      <c r="J8" s="1"/>
    </row>
    <row r="9" spans="2:10" x14ac:dyDescent="0.3">
      <c r="B9" s="1"/>
      <c r="C9" s="1"/>
      <c r="D9" s="1"/>
      <c r="E9" s="1"/>
      <c r="F9" s="1"/>
      <c r="G9" s="1"/>
      <c r="H9" s="1"/>
      <c r="I9" s="1"/>
      <c r="J9" s="1"/>
    </row>
    <row r="10" spans="2:10" ht="14.4" customHeight="1" x14ac:dyDescent="0.3">
      <c r="B10" s="53" t="s">
        <v>73</v>
      </c>
      <c r="C10" s="53"/>
      <c r="D10" s="53"/>
      <c r="E10" s="53"/>
      <c r="F10" s="1"/>
      <c r="G10" s="1"/>
      <c r="H10" s="1"/>
      <c r="I10" s="1"/>
      <c r="J10" s="1"/>
    </row>
    <row r="11" spans="2:10" x14ac:dyDescent="0.3">
      <c r="B11" s="53"/>
      <c r="C11" s="53"/>
      <c r="D11" s="53"/>
      <c r="E11" s="53"/>
      <c r="F11" s="1"/>
      <c r="G11" s="1"/>
      <c r="H11" s="1"/>
      <c r="I11" s="1"/>
      <c r="J11" s="1"/>
    </row>
    <row r="12" spans="2:10" x14ac:dyDescent="0.3">
      <c r="B12" s="1"/>
      <c r="C12" s="1"/>
      <c r="D12" s="1"/>
      <c r="E12" s="1"/>
      <c r="F12" s="1"/>
      <c r="G12" s="1"/>
      <c r="H12" s="1"/>
      <c r="I12" s="1"/>
      <c r="J12" s="1"/>
    </row>
    <row r="13" spans="2:10" ht="41.4" x14ac:dyDescent="0.3">
      <c r="B13" s="4" t="s">
        <v>58</v>
      </c>
      <c r="C13" s="4" t="s">
        <v>74</v>
      </c>
      <c r="D13" s="4" t="s">
        <v>75</v>
      </c>
      <c r="E13" s="4" t="s">
        <v>76</v>
      </c>
      <c r="F13" s="1"/>
      <c r="G13" s="1"/>
      <c r="H13" s="1"/>
      <c r="I13" s="1"/>
      <c r="J13" s="1"/>
    </row>
    <row r="14" spans="2:10" ht="28.8" x14ac:dyDescent="0.3">
      <c r="B14" s="5" t="s">
        <v>13</v>
      </c>
      <c r="C14" s="6" t="s">
        <v>77</v>
      </c>
      <c r="D14" s="10">
        <f>SUMIF('flattened data'!B5:$B$88,'Exercise 2'!B14,'flattened data'!D5:$D$88)</f>
        <v>12772004</v>
      </c>
      <c r="E14" s="11">
        <f>D14</f>
        <v>12772004</v>
      </c>
      <c r="F14" s="1"/>
      <c r="G14" s="1"/>
      <c r="H14" s="1"/>
      <c r="I14" s="1"/>
      <c r="J14" s="1"/>
    </row>
    <row r="15" spans="2:10" ht="28.8" x14ac:dyDescent="0.3">
      <c r="B15" s="5" t="s">
        <v>9</v>
      </c>
      <c r="C15" s="6" t="s">
        <v>78</v>
      </c>
      <c r="D15" s="10">
        <f>SUMIF('flattened data'!B6:$B$88,'Exercise 2'!B15,'flattened data'!D6:$D$88)</f>
        <v>2963441</v>
      </c>
      <c r="E15" s="11">
        <f t="shared" ref="E15:E20" si="0">D15</f>
        <v>2963441</v>
      </c>
      <c r="F15" s="1"/>
      <c r="G15" s="1"/>
      <c r="H15" s="1"/>
      <c r="I15" s="1"/>
      <c r="J15" s="1"/>
    </row>
    <row r="16" spans="2:10" ht="28.8" x14ac:dyDescent="0.3">
      <c r="B16" s="5" t="s">
        <v>19</v>
      </c>
      <c r="C16" s="6" t="s">
        <v>79</v>
      </c>
      <c r="D16" s="10">
        <f>SUMIF('flattened data'!B7:$B$88,'Exercise 2'!B16,'flattened data'!D7:$D$88)</f>
        <v>1376042</v>
      </c>
      <c r="E16" s="11">
        <f t="shared" si="0"/>
        <v>1376042</v>
      </c>
      <c r="F16" s="1"/>
      <c r="G16" s="1"/>
      <c r="H16" s="1"/>
      <c r="I16" s="1"/>
      <c r="J16" s="1"/>
    </row>
    <row r="17" spans="2:10" ht="28.8" x14ac:dyDescent="0.3">
      <c r="B17" s="5" t="s">
        <v>17</v>
      </c>
      <c r="C17" s="6" t="s">
        <v>18</v>
      </c>
      <c r="D17" s="10">
        <f>SUMIF('flattened data'!B8:$B$88,'Exercise 2'!B17,'flattened data'!D8:$D$88)</f>
        <v>5121701</v>
      </c>
      <c r="E17" s="11">
        <f t="shared" si="0"/>
        <v>5121701</v>
      </c>
      <c r="F17" s="1"/>
      <c r="G17" s="1"/>
      <c r="H17" s="1"/>
      <c r="I17" s="1"/>
      <c r="J17" s="1"/>
    </row>
    <row r="18" spans="2:10" ht="28.8" x14ac:dyDescent="0.3">
      <c r="B18" s="5" t="s">
        <v>64</v>
      </c>
      <c r="C18" s="6" t="s">
        <v>80</v>
      </c>
      <c r="D18" s="10">
        <f>SUMIF('flattened data'!B9:$B$88,'Exercise 2'!B18,'flattened data'!D9:$D$88)</f>
        <v>3342752</v>
      </c>
      <c r="E18" s="11">
        <f t="shared" si="0"/>
        <v>3342752</v>
      </c>
      <c r="F18" s="1"/>
      <c r="G18" s="1"/>
      <c r="H18" s="1"/>
      <c r="I18" s="1"/>
      <c r="J18" s="1"/>
    </row>
    <row r="19" spans="2:10" ht="28.8" x14ac:dyDescent="0.3">
      <c r="B19" s="5" t="s">
        <v>15</v>
      </c>
      <c r="C19" s="6" t="s">
        <v>81</v>
      </c>
      <c r="D19" s="10">
        <f>SUMIF('flattened data'!B10:$B$88,'Exercise 2'!B19,'flattened data'!D10:$D$88)</f>
        <v>7488899</v>
      </c>
      <c r="E19" s="11">
        <f>D19</f>
        <v>7488899</v>
      </c>
      <c r="F19" s="1"/>
      <c r="G19" s="1"/>
      <c r="H19" s="1"/>
      <c r="I19" s="1"/>
      <c r="J19" s="1"/>
    </row>
    <row r="20" spans="2:10" ht="28.8" x14ac:dyDescent="0.3">
      <c r="B20" s="5" t="s">
        <v>11</v>
      </c>
      <c r="C20" s="6" t="s">
        <v>82</v>
      </c>
      <c r="D20" s="10">
        <f>SUMIF('flattened data'!B11:$B$88,'Exercise 2'!B20,'flattened data'!D11:$D$88)</f>
        <v>2852527</v>
      </c>
      <c r="E20" s="11">
        <f t="shared" si="0"/>
        <v>2852527</v>
      </c>
      <c r="F20" s="1"/>
      <c r="G20" s="1"/>
      <c r="H20" s="1"/>
      <c r="I20" s="1"/>
      <c r="J20" s="1"/>
    </row>
    <row r="21" spans="2:10" x14ac:dyDescent="0.3">
      <c r="B21" s="1"/>
      <c r="C21" s="1"/>
      <c r="D21" s="1"/>
      <c r="E21" s="1"/>
      <c r="F21" s="1"/>
      <c r="G21" s="1"/>
      <c r="H21" s="1"/>
      <c r="I21" s="1"/>
      <c r="J21" s="1"/>
    </row>
    <row r="22" spans="2:10" x14ac:dyDescent="0.3">
      <c r="B22" s="1"/>
      <c r="C22" s="1"/>
      <c r="D22" s="1"/>
      <c r="E22" s="1"/>
      <c r="F22" s="1"/>
      <c r="G22" s="1"/>
      <c r="H22" s="1"/>
      <c r="I22" s="1"/>
      <c r="J22" s="1"/>
    </row>
    <row r="23" spans="2:10" ht="17.399999999999999" x14ac:dyDescent="0.3">
      <c r="B23" s="9" t="s">
        <v>83</v>
      </c>
      <c r="C23" s="1"/>
      <c r="D23" s="1"/>
      <c r="E23" s="1"/>
      <c r="F23" s="1"/>
      <c r="G23" s="1"/>
      <c r="H23" s="1"/>
      <c r="I23" s="1"/>
      <c r="J23" s="1"/>
    </row>
    <row r="24" spans="2:10" x14ac:dyDescent="0.3">
      <c r="B24" s="1"/>
      <c r="C24" s="1"/>
      <c r="D24" s="1"/>
      <c r="E24" s="1"/>
      <c r="F24" s="1"/>
      <c r="G24" s="1"/>
      <c r="H24" s="1"/>
      <c r="I24" s="1"/>
      <c r="J24" s="1"/>
    </row>
    <row r="25" spans="2:10" x14ac:dyDescent="0.3">
      <c r="B25" s="53" t="s">
        <v>84</v>
      </c>
      <c r="C25" s="53"/>
      <c r="D25" s="53"/>
      <c r="E25" s="53"/>
      <c r="F25" s="1"/>
      <c r="G25" s="1"/>
      <c r="H25" s="1"/>
      <c r="I25" s="1"/>
      <c r="J25" s="1"/>
    </row>
    <row r="26" spans="2:10" x14ac:dyDescent="0.3">
      <c r="B26" s="53"/>
      <c r="C26" s="53"/>
      <c r="D26" s="53"/>
      <c r="E26" s="53"/>
      <c r="F26" s="1"/>
      <c r="G26" s="1"/>
      <c r="H26" s="1"/>
      <c r="I26" s="1"/>
      <c r="J26" s="1"/>
    </row>
    <row r="27" spans="2:10" x14ac:dyDescent="0.3">
      <c r="B27" s="1"/>
      <c r="C27" s="1"/>
      <c r="D27" s="1"/>
      <c r="E27" s="1"/>
      <c r="F27" s="1"/>
      <c r="G27" s="1"/>
      <c r="H27" s="1"/>
      <c r="I27" s="1"/>
      <c r="J27" s="1"/>
    </row>
    <row r="28" spans="2:10" x14ac:dyDescent="0.3">
      <c r="B28" s="4" t="s">
        <v>8</v>
      </c>
      <c r="C28" s="4" t="s">
        <v>85</v>
      </c>
      <c r="D28" s="4" t="s">
        <v>59</v>
      </c>
      <c r="E28" s="4" t="s">
        <v>76</v>
      </c>
      <c r="F28" s="1"/>
      <c r="G28" s="1"/>
      <c r="H28" s="1"/>
      <c r="I28" s="1"/>
      <c r="J28" s="1"/>
    </row>
    <row r="29" spans="2:10" x14ac:dyDescent="0.3">
      <c r="B29" s="5" t="s">
        <v>14</v>
      </c>
      <c r="C29" s="5" t="s">
        <v>13</v>
      </c>
      <c r="D29" s="10">
        <f>SUMIF('flattened data'!$B$5:$B$88,'Exercise 2'!C29,'flattened data'!$D$5:$D$88)</f>
        <v>12772004</v>
      </c>
      <c r="E29" s="11">
        <f>D29</f>
        <v>12772004</v>
      </c>
      <c r="F29" s="1"/>
      <c r="G29" s="1"/>
      <c r="H29" s="1"/>
      <c r="I29" s="1"/>
      <c r="J29" s="1"/>
    </row>
    <row r="30" spans="2:10" x14ac:dyDescent="0.3">
      <c r="B30" s="5" t="s">
        <v>10</v>
      </c>
      <c r="C30" s="5" t="s">
        <v>86</v>
      </c>
      <c r="D30" s="10">
        <f>SUMIF('flattened data'!$B$5:$B$88, 92, 'flattened data'!D5:$D$88) + SUMIF('flattened data'!$B$5:$B$88, 8222, 'flattened data'!$D$5:$D$88)</f>
        <v>6306193</v>
      </c>
      <c r="E30" s="11">
        <f t="shared" ref="E30:E33" si="1">D30</f>
        <v>6306193</v>
      </c>
      <c r="F30" s="1"/>
      <c r="G30" s="1"/>
      <c r="H30" s="1"/>
      <c r="I30" s="1"/>
      <c r="J30" s="1"/>
    </row>
    <row r="31" spans="2:10" x14ac:dyDescent="0.3">
      <c r="B31" s="5" t="s">
        <v>20</v>
      </c>
      <c r="C31" s="5" t="s">
        <v>19</v>
      </c>
      <c r="D31" s="10">
        <f>SUMIF('flattened data'!$B$5:$B$88,'Exercise 2'!C31,'flattened data'!$D$5:$D$88)</f>
        <v>1376042</v>
      </c>
      <c r="E31" s="11">
        <f t="shared" si="1"/>
        <v>1376042</v>
      </c>
      <c r="F31" s="1"/>
      <c r="G31" s="1"/>
      <c r="H31" s="1"/>
      <c r="I31" s="1"/>
      <c r="J31" s="1"/>
    </row>
    <row r="32" spans="2:10" x14ac:dyDescent="0.3">
      <c r="B32" s="5" t="s">
        <v>16</v>
      </c>
      <c r="C32" s="5" t="s">
        <v>87</v>
      </c>
      <c r="D32" s="10">
        <f>SUMIF('flattened data'!$B$5:$B$88, 7732, 'flattened data'!D5:$D$88) + SUMIF('flattened data'!$B$5:$B$88, 1141, 'flattened data'!$D$5:$D$88)</f>
        <v>10341426</v>
      </c>
      <c r="E32" s="11">
        <f t="shared" si="1"/>
        <v>10341426</v>
      </c>
      <c r="F32" s="1"/>
      <c r="G32" s="1"/>
      <c r="H32" s="1"/>
      <c r="I32" s="1"/>
      <c r="J32" s="1"/>
    </row>
    <row r="33" spans="2:10" x14ac:dyDescent="0.3">
      <c r="B33" s="5" t="s">
        <v>12</v>
      </c>
      <c r="C33" s="5" t="s">
        <v>17</v>
      </c>
      <c r="D33" s="10">
        <f>SUMIF('flattened data'!$B$5:$B$88,'Exercise 2'!C33,'flattened data'!$D$5:$D$88)</f>
        <v>5121701</v>
      </c>
      <c r="E33" s="11">
        <f t="shared" si="1"/>
        <v>5121701</v>
      </c>
      <c r="F33" s="1"/>
      <c r="G33" s="1"/>
      <c r="H33" s="1"/>
      <c r="I33" s="1"/>
      <c r="J33" s="1"/>
    </row>
    <row r="34" spans="2:10" x14ac:dyDescent="0.3">
      <c r="B34" s="1"/>
      <c r="C34" s="1"/>
      <c r="D34" s="1"/>
      <c r="E34" s="1"/>
      <c r="F34" s="1"/>
      <c r="G34" s="1"/>
      <c r="H34" s="1"/>
      <c r="I34" s="1"/>
      <c r="J34" s="1"/>
    </row>
    <row r="35" spans="2:10" x14ac:dyDescent="0.3">
      <c r="B35" s="1"/>
      <c r="C35" s="1"/>
      <c r="D35" s="1"/>
      <c r="E35" s="1"/>
      <c r="F35" s="1"/>
      <c r="G35" s="1"/>
      <c r="H35" s="1"/>
      <c r="I35" s="1"/>
      <c r="J35" s="1"/>
    </row>
    <row r="36" spans="2:10" ht="17.399999999999999" x14ac:dyDescent="0.3">
      <c r="B36" s="9" t="s">
        <v>88</v>
      </c>
      <c r="C36" s="1"/>
      <c r="D36" s="1"/>
      <c r="E36" s="1"/>
      <c r="F36" s="1"/>
      <c r="G36" s="1"/>
      <c r="H36" s="1"/>
      <c r="I36" s="1"/>
      <c r="J36" s="1"/>
    </row>
    <row r="37" spans="2:10" x14ac:dyDescent="0.3">
      <c r="B37" s="1"/>
      <c r="C37" s="1"/>
      <c r="D37" s="1"/>
      <c r="E37" s="1"/>
      <c r="F37" s="1"/>
      <c r="G37" s="1"/>
      <c r="H37" s="1"/>
      <c r="I37" s="1"/>
      <c r="J37" s="1"/>
    </row>
    <row r="38" spans="2:10" x14ac:dyDescent="0.3">
      <c r="B38" s="53" t="s">
        <v>89</v>
      </c>
      <c r="C38" s="53"/>
      <c r="D38" s="53"/>
      <c r="E38" s="53"/>
      <c r="F38" s="1"/>
      <c r="G38" s="1"/>
      <c r="H38" s="1"/>
      <c r="I38" s="1"/>
      <c r="J38" s="1"/>
    </row>
    <row r="39" spans="2:10" x14ac:dyDescent="0.3">
      <c r="B39" s="53"/>
      <c r="C39" s="53"/>
      <c r="D39" s="53"/>
      <c r="E39" s="53"/>
      <c r="F39" s="1"/>
      <c r="G39" s="1"/>
      <c r="H39" s="1"/>
      <c r="I39" s="1"/>
      <c r="J39" s="1"/>
    </row>
    <row r="40" spans="2:10" x14ac:dyDescent="0.3">
      <c r="B40" s="1"/>
      <c r="C40" s="1"/>
      <c r="D40" s="1"/>
      <c r="E40" s="1"/>
      <c r="F40" s="1"/>
      <c r="G40" s="1"/>
      <c r="H40" s="1"/>
      <c r="I40" s="1"/>
      <c r="J40" s="1"/>
    </row>
    <row r="41" spans="2:10" x14ac:dyDescent="0.3">
      <c r="B41" s="4" t="s">
        <v>3</v>
      </c>
      <c r="C41" s="4" t="s">
        <v>59</v>
      </c>
      <c r="D41" s="4" t="s">
        <v>90</v>
      </c>
      <c r="E41" s="1"/>
      <c r="F41" s="1"/>
      <c r="G41" s="1"/>
      <c r="H41" s="1"/>
      <c r="I41" s="1"/>
      <c r="J41" s="1"/>
    </row>
    <row r="42" spans="2:10" ht="25.8" customHeight="1" x14ac:dyDescent="0.3">
      <c r="B42" s="6" t="s">
        <v>0</v>
      </c>
      <c r="C42" s="10">
        <f>SUMIF('flattened data'!$C$5:$C$88,'Exercise 2'!B42,'flattened data'!$D$5:$D$88)</f>
        <v>13014291</v>
      </c>
      <c r="D42" s="11">
        <f>C42</f>
        <v>13014291</v>
      </c>
      <c r="E42" s="1"/>
      <c r="F42" s="1"/>
      <c r="G42" s="1"/>
      <c r="H42" s="1"/>
      <c r="I42" s="1"/>
      <c r="J42" s="1"/>
    </row>
    <row r="43" spans="2:10" ht="25.8" customHeight="1" x14ac:dyDescent="0.3">
      <c r="B43" s="6" t="s">
        <v>65</v>
      </c>
      <c r="C43" s="10">
        <f>SUMIF('flattened data'!$C$5:$C$88,'Exercise 2'!B43,'flattened data'!$D$5:$D$88)</f>
        <v>7971195</v>
      </c>
      <c r="D43" s="11">
        <f t="shared" ref="D43:D47" si="2">C43</f>
        <v>7971195</v>
      </c>
      <c r="E43" s="1"/>
      <c r="F43" s="1"/>
      <c r="G43" s="1"/>
      <c r="H43" s="1"/>
      <c r="I43" s="1"/>
      <c r="J43" s="1"/>
    </row>
    <row r="44" spans="2:10" ht="25.8" customHeight="1" x14ac:dyDescent="0.3">
      <c r="B44" s="6" t="s">
        <v>63</v>
      </c>
      <c r="C44" s="10">
        <f>SUMIF('flattened data'!$C$5:$C$88,'Exercise 2'!B44,'flattened data'!$D$5:$D$88)</f>
        <v>5043096</v>
      </c>
      <c r="D44" s="11">
        <f t="shared" si="2"/>
        <v>5043096</v>
      </c>
      <c r="E44" s="1"/>
      <c r="F44" s="1"/>
      <c r="G44" s="1"/>
      <c r="H44" s="1"/>
      <c r="I44" s="1"/>
      <c r="J44" s="1"/>
    </row>
    <row r="45" spans="2:10" ht="25.8" customHeight="1" x14ac:dyDescent="0.3">
      <c r="B45" s="6" t="s">
        <v>91</v>
      </c>
      <c r="C45" s="10">
        <f>SUMIF('flattened data'!$C$5:$C$88,'Exercise 2'!B45,'flattened data'!$D$5:$D$88)</f>
        <v>2674138</v>
      </c>
      <c r="D45" s="11">
        <f t="shared" si="2"/>
        <v>2674138</v>
      </c>
      <c r="E45" s="1"/>
      <c r="F45" s="1"/>
      <c r="G45" s="1"/>
      <c r="H45" s="1"/>
      <c r="I45" s="1"/>
      <c r="J45" s="1"/>
    </row>
    <row r="46" spans="2:10" ht="25.8" customHeight="1" x14ac:dyDescent="0.3">
      <c r="B46" s="6" t="s">
        <v>61</v>
      </c>
      <c r="C46" s="10">
        <f>SUMIF('flattened data'!$C$5:$C$88,'Exercise 2'!B46,'flattened data'!$D$5:$D$88)</f>
        <v>-1079290</v>
      </c>
      <c r="D46" s="11">
        <f t="shared" si="2"/>
        <v>-1079290</v>
      </c>
      <c r="E46" s="1"/>
      <c r="F46" s="1"/>
      <c r="G46" s="1"/>
      <c r="H46" s="1"/>
      <c r="I46" s="1"/>
      <c r="J46" s="1"/>
    </row>
    <row r="47" spans="2:10" ht="25.8" customHeight="1" x14ac:dyDescent="0.3">
      <c r="B47" s="6" t="s">
        <v>62</v>
      </c>
      <c r="C47" s="10">
        <f>SUMIF('flattened data'!$C$5:$C$88,'Exercise 2'!B47,'flattened data'!$D$5:$D$88)</f>
        <v>3758970</v>
      </c>
      <c r="D47" s="11">
        <f t="shared" si="2"/>
        <v>3758970</v>
      </c>
      <c r="E47" s="1"/>
      <c r="F47" s="1"/>
      <c r="G47" s="1"/>
      <c r="H47" s="1"/>
      <c r="I47" s="1"/>
      <c r="J47" s="1"/>
    </row>
    <row r="49" spans="2:7" x14ac:dyDescent="0.3">
      <c r="B49" s="47" t="s">
        <v>54</v>
      </c>
      <c r="C49" s="47"/>
      <c r="D49" s="47"/>
      <c r="E49" s="47"/>
      <c r="F49" s="47"/>
      <c r="G49" s="47"/>
    </row>
  </sheetData>
  <mergeCells count="6">
    <mergeCell ref="B1:J1"/>
    <mergeCell ref="B10:E11"/>
    <mergeCell ref="B25:E26"/>
    <mergeCell ref="B38:E39"/>
    <mergeCell ref="B49:G49"/>
    <mergeCell ref="B3:I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2170B-2E60-421C-B7E1-F79F7AB63EA0}">
  <sheetPr codeName="Sheet4">
    <tabColor rgb="FFFFFF99"/>
  </sheetPr>
  <dimension ref="B1:S27"/>
  <sheetViews>
    <sheetView showGridLines="0" topLeftCell="A25" workbookViewId="0">
      <selection activeCell="V5" sqref="V5"/>
    </sheetView>
  </sheetViews>
  <sheetFormatPr defaultRowHeight="14.4" x14ac:dyDescent="0.3"/>
  <cols>
    <col min="1" max="5" width="8.88671875" style="27"/>
    <col min="6" max="6" width="10.88671875" style="27" customWidth="1"/>
    <col min="7" max="16384" width="8.88671875" style="27"/>
  </cols>
  <sheetData>
    <row r="1" spans="2:19" ht="24.6" x14ac:dyDescent="0.3">
      <c r="B1" s="26"/>
      <c r="C1" s="34" t="s">
        <v>92</v>
      </c>
      <c r="D1" s="34"/>
      <c r="E1" s="34"/>
      <c r="F1" s="34"/>
      <c r="G1" s="34"/>
      <c r="H1" s="34"/>
      <c r="I1" s="34"/>
      <c r="J1" s="34"/>
      <c r="K1" s="34"/>
      <c r="L1" s="34"/>
    </row>
    <row r="2" spans="2:19" x14ac:dyDescent="0.3"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2:19" x14ac:dyDescent="0.3">
      <c r="B3" s="26"/>
      <c r="C3" s="35" t="s">
        <v>93</v>
      </c>
      <c r="D3" s="36"/>
      <c r="E3" s="36"/>
      <c r="F3" s="36"/>
      <c r="G3" s="36"/>
      <c r="H3" s="36"/>
      <c r="I3" s="36"/>
      <c r="J3" s="36"/>
      <c r="K3" s="36"/>
      <c r="L3" s="36"/>
    </row>
    <row r="4" spans="2:19" x14ac:dyDescent="0.3">
      <c r="B4" s="26"/>
      <c r="C4" s="37"/>
      <c r="D4" s="38"/>
      <c r="E4" s="38"/>
      <c r="F4" s="38"/>
      <c r="G4" s="38"/>
      <c r="H4" s="38"/>
      <c r="I4" s="38"/>
      <c r="J4" s="38"/>
      <c r="K4" s="38"/>
      <c r="L4" s="38"/>
    </row>
    <row r="5" spans="2:19" x14ac:dyDescent="0.3">
      <c r="B5" s="26"/>
      <c r="C5" s="37"/>
      <c r="D5" s="38"/>
      <c r="E5" s="38"/>
      <c r="F5" s="38"/>
      <c r="G5" s="38"/>
      <c r="H5" s="38"/>
      <c r="I5" s="38"/>
      <c r="J5" s="38"/>
      <c r="K5" s="38"/>
      <c r="L5" s="38"/>
    </row>
    <row r="6" spans="2:19" x14ac:dyDescent="0.3">
      <c r="B6" s="26"/>
      <c r="C6" s="37"/>
      <c r="D6" s="38"/>
      <c r="E6" s="38"/>
      <c r="F6" s="38"/>
      <c r="G6" s="38"/>
      <c r="H6" s="38"/>
      <c r="I6" s="38"/>
      <c r="J6" s="38"/>
      <c r="K6" s="38"/>
      <c r="L6" s="38"/>
    </row>
    <row r="8" spans="2:19" x14ac:dyDescent="0.3">
      <c r="C8" s="39" t="s">
        <v>54</v>
      </c>
      <c r="D8" s="39"/>
      <c r="E8" s="39"/>
      <c r="F8" s="39"/>
      <c r="G8" s="39"/>
      <c r="H8" s="39"/>
    </row>
    <row r="9" spans="2:19" x14ac:dyDescent="0.3">
      <c r="C9" s="40" t="s">
        <v>132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</row>
    <row r="10" spans="2:19" x14ac:dyDescent="0.3"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</row>
    <row r="11" spans="2:19" x14ac:dyDescent="0.3"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</row>
    <row r="12" spans="2:19" x14ac:dyDescent="0.3"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</row>
    <row r="15" spans="2:19" x14ac:dyDescent="0.3">
      <c r="R15" s="42"/>
      <c r="S15" s="42"/>
    </row>
    <row r="16" spans="2:19" x14ac:dyDescent="0.3">
      <c r="R16" s="42"/>
      <c r="S16" s="42"/>
    </row>
    <row r="17" spans="18:19" x14ac:dyDescent="0.3">
      <c r="R17" s="42"/>
      <c r="S17" s="42"/>
    </row>
    <row r="18" spans="18:19" x14ac:dyDescent="0.3">
      <c r="R18" s="30" t="s">
        <v>135</v>
      </c>
      <c r="S18" s="31"/>
    </row>
    <row r="19" spans="18:19" x14ac:dyDescent="0.3">
      <c r="R19" s="32">
        <f>GETPIVOTDATA("Sales",'summary by store'!$B$17)</f>
        <v>13014291</v>
      </c>
      <c r="S19" s="32"/>
    </row>
    <row r="22" spans="18:19" x14ac:dyDescent="0.3">
      <c r="R22" s="30" t="s">
        <v>134</v>
      </c>
      <c r="S22" s="31"/>
    </row>
    <row r="23" spans="18:19" x14ac:dyDescent="0.3">
      <c r="R23" s="32">
        <f>GETPIVOTDATA("Total_Expenses",'summary by store'!$E$17)</f>
        <v>6122386</v>
      </c>
      <c r="S23" s="32"/>
    </row>
    <row r="26" spans="18:19" x14ac:dyDescent="0.3">
      <c r="R26" s="30" t="s">
        <v>133</v>
      </c>
      <c r="S26" s="30"/>
    </row>
    <row r="27" spans="18:19" x14ac:dyDescent="0.3">
      <c r="R27" s="33">
        <f>'summary by store'!E14</f>
        <v>5043096</v>
      </c>
      <c r="S27" s="33"/>
    </row>
  </sheetData>
  <mergeCells count="11">
    <mergeCell ref="R27:S27"/>
    <mergeCell ref="C1:L1"/>
    <mergeCell ref="C3:L6"/>
    <mergeCell ref="C8:H8"/>
    <mergeCell ref="C9:P12"/>
    <mergeCell ref="R15:S17"/>
    <mergeCell ref="R18:S18"/>
    <mergeCell ref="R19:S19"/>
    <mergeCell ref="R22:S22"/>
    <mergeCell ref="R23:S23"/>
    <mergeCell ref="R26:S2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1F30D-2E86-4842-BA33-07BCA43B879C}">
  <dimension ref="A1:G10"/>
  <sheetViews>
    <sheetView workbookViewId="0">
      <selection activeCell="E14" sqref="E14"/>
    </sheetView>
  </sheetViews>
  <sheetFormatPr defaultRowHeight="14.4" x14ac:dyDescent="0.3"/>
  <cols>
    <col min="1" max="1" width="10.21875" bestFit="1" customWidth="1"/>
    <col min="2" max="2" width="17.88671875" bestFit="1" customWidth="1"/>
    <col min="3" max="3" width="9" bestFit="1" customWidth="1"/>
    <col min="4" max="4" width="13.33203125" bestFit="1" customWidth="1"/>
    <col min="5" max="5" width="16" bestFit="1" customWidth="1"/>
    <col min="6" max="6" width="13.21875" bestFit="1" customWidth="1"/>
    <col min="7" max="7" width="14.109375" bestFit="1" customWidth="1"/>
  </cols>
  <sheetData>
    <row r="1" spans="1:7" x14ac:dyDescent="0.3">
      <c r="A1" s="28" t="s">
        <v>136</v>
      </c>
    </row>
    <row r="3" spans="1:7" x14ac:dyDescent="0.3">
      <c r="A3" t="s">
        <v>2</v>
      </c>
      <c r="B3" t="s">
        <v>5</v>
      </c>
      <c r="C3" t="s">
        <v>0</v>
      </c>
      <c r="D3" t="s">
        <v>6</v>
      </c>
      <c r="E3" t="s">
        <v>102</v>
      </c>
      <c r="F3" t="s">
        <v>7</v>
      </c>
      <c r="G3" t="s">
        <v>103</v>
      </c>
    </row>
    <row r="4" spans="1:7" x14ac:dyDescent="0.3">
      <c r="A4" t="s">
        <v>15</v>
      </c>
      <c r="B4" t="s">
        <v>81</v>
      </c>
      <c r="C4">
        <v>2749689</v>
      </c>
      <c r="D4">
        <v>893329</v>
      </c>
      <c r="E4">
        <v>1229277</v>
      </c>
      <c r="F4">
        <v>-335948</v>
      </c>
      <c r="G4">
        <v>-0.12217672616794099</v>
      </c>
    </row>
    <row r="5" spans="1:7" x14ac:dyDescent="0.3">
      <c r="A5" t="s">
        <v>19</v>
      </c>
      <c r="B5" t="s">
        <v>79</v>
      </c>
      <c r="C5">
        <v>513628</v>
      </c>
      <c r="D5">
        <v>172671</v>
      </c>
      <c r="E5">
        <v>218018</v>
      </c>
      <c r="F5">
        <v>-45347</v>
      </c>
      <c r="G5">
        <v>-8.8287632294189594E-2</v>
      </c>
    </row>
    <row r="6" spans="1:7" x14ac:dyDescent="0.3">
      <c r="A6" t="s">
        <v>9</v>
      </c>
      <c r="B6" t="s">
        <v>78</v>
      </c>
      <c r="C6">
        <v>1044739</v>
      </c>
      <c r="D6">
        <v>435870</v>
      </c>
      <c r="E6">
        <v>455320</v>
      </c>
      <c r="F6">
        <v>-19450</v>
      </c>
      <c r="G6">
        <v>-1.8617090010040801E-2</v>
      </c>
    </row>
    <row r="7" spans="1:7" x14ac:dyDescent="0.3">
      <c r="A7" t="s">
        <v>13</v>
      </c>
      <c r="B7" t="s">
        <v>77</v>
      </c>
      <c r="C7">
        <v>4602437</v>
      </c>
      <c r="D7">
        <v>1994238</v>
      </c>
      <c r="E7">
        <v>2167757</v>
      </c>
      <c r="F7">
        <v>-173519</v>
      </c>
      <c r="G7">
        <v>-3.7701548114618399E-2</v>
      </c>
    </row>
    <row r="8" spans="1:7" x14ac:dyDescent="0.3">
      <c r="A8" t="s">
        <v>17</v>
      </c>
      <c r="B8" t="s">
        <v>18</v>
      </c>
      <c r="C8">
        <v>1831990</v>
      </c>
      <c r="D8">
        <v>658493</v>
      </c>
      <c r="E8">
        <v>976753</v>
      </c>
      <c r="F8">
        <v>-318260</v>
      </c>
      <c r="G8">
        <v>-0.173723655696811</v>
      </c>
    </row>
    <row r="9" spans="1:7" x14ac:dyDescent="0.3">
      <c r="A9" t="s">
        <v>64</v>
      </c>
      <c r="B9" t="s">
        <v>80</v>
      </c>
      <c r="C9">
        <v>1258403</v>
      </c>
      <c r="D9">
        <v>457301</v>
      </c>
      <c r="E9">
        <v>550471</v>
      </c>
      <c r="F9">
        <v>-93170</v>
      </c>
      <c r="G9">
        <v>-7.4038285032696202E-2</v>
      </c>
    </row>
    <row r="10" spans="1:7" x14ac:dyDescent="0.3">
      <c r="A10" t="s">
        <v>11</v>
      </c>
      <c r="B10" t="s">
        <v>82</v>
      </c>
      <c r="C10">
        <v>1013405</v>
      </c>
      <c r="D10">
        <v>431194</v>
      </c>
      <c r="E10">
        <v>524790</v>
      </c>
      <c r="F10">
        <v>-93596</v>
      </c>
      <c r="G10">
        <v>-9.2357941790301004E-2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DC8D7-CCB1-488C-AD6F-5FB2B46D8EC7}">
  <sheetPr codeName="Sheet6">
    <tabColor theme="5" tint="0.79998168889431442"/>
  </sheetPr>
  <dimension ref="B2:N16"/>
  <sheetViews>
    <sheetView workbookViewId="0">
      <selection activeCell="B8" sqref="B8"/>
    </sheetView>
  </sheetViews>
  <sheetFormatPr defaultColWidth="12.33203125" defaultRowHeight="14.4" x14ac:dyDescent="0.3"/>
  <cols>
    <col min="1" max="1" width="9.5546875" customWidth="1"/>
    <col min="2" max="2" width="12.33203125" customWidth="1"/>
    <col min="9" max="9" width="14.5546875" customWidth="1"/>
  </cols>
  <sheetData>
    <row r="2" spans="2:14" ht="22.8" x14ac:dyDescent="0.3">
      <c r="B2" s="58" t="s">
        <v>94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2:14" x14ac:dyDescent="0.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2:14" x14ac:dyDescent="0.3">
      <c r="B4" s="14" t="s">
        <v>3</v>
      </c>
      <c r="C4" s="14" t="s">
        <v>13</v>
      </c>
      <c r="D4" s="14" t="s">
        <v>9</v>
      </c>
      <c r="E4" s="14" t="s">
        <v>19</v>
      </c>
      <c r="F4" s="14" t="s">
        <v>17</v>
      </c>
      <c r="G4" s="14" t="s">
        <v>64</v>
      </c>
      <c r="H4" s="14" t="s">
        <v>15</v>
      </c>
      <c r="I4" s="14" t="s">
        <v>11</v>
      </c>
      <c r="J4" s="1"/>
      <c r="K4" s="1"/>
      <c r="L4" s="1"/>
      <c r="M4" s="1"/>
      <c r="N4" s="1"/>
    </row>
    <row r="5" spans="2:14" x14ac:dyDescent="0.3">
      <c r="B5" s="15" t="s">
        <v>0</v>
      </c>
      <c r="C5" s="16">
        <v>4602437</v>
      </c>
      <c r="D5" s="16">
        <v>1044739</v>
      </c>
      <c r="E5" s="16">
        <v>513628</v>
      </c>
      <c r="F5" s="16">
        <v>1831990</v>
      </c>
      <c r="G5" s="16">
        <v>1258403</v>
      </c>
      <c r="H5" s="16">
        <v>2749689</v>
      </c>
      <c r="I5" s="16">
        <v>1013405</v>
      </c>
      <c r="J5" s="1"/>
      <c r="K5" s="1"/>
      <c r="L5" s="1"/>
      <c r="M5" s="1"/>
      <c r="N5" s="1"/>
    </row>
    <row r="6" spans="2:14" x14ac:dyDescent="0.3">
      <c r="B6" s="15" t="s">
        <v>65</v>
      </c>
      <c r="C6" s="16">
        <v>2608199</v>
      </c>
      <c r="D6" s="16">
        <v>608869</v>
      </c>
      <c r="E6" s="16">
        <v>340957</v>
      </c>
      <c r="F6" s="16">
        <v>1173497</v>
      </c>
      <c r="G6" s="16">
        <v>801102</v>
      </c>
      <c r="H6" s="16">
        <v>1856360</v>
      </c>
      <c r="I6" s="16">
        <v>582211</v>
      </c>
      <c r="J6" s="1"/>
      <c r="K6" s="1"/>
      <c r="L6" s="1"/>
      <c r="M6" s="1"/>
      <c r="N6" s="1"/>
    </row>
    <row r="7" spans="2:14" x14ac:dyDescent="0.3">
      <c r="B7" s="15" t="s">
        <v>63</v>
      </c>
      <c r="C7" s="16">
        <v>1994238</v>
      </c>
      <c r="D7" s="16">
        <v>435870</v>
      </c>
      <c r="E7" s="16">
        <v>172671</v>
      </c>
      <c r="F7" s="16">
        <v>658493</v>
      </c>
      <c r="G7" s="16">
        <v>457301</v>
      </c>
      <c r="H7" s="16">
        <v>893329</v>
      </c>
      <c r="I7" s="16">
        <v>431194</v>
      </c>
      <c r="J7" s="1"/>
      <c r="K7" s="1"/>
      <c r="L7" s="1"/>
      <c r="M7" s="1"/>
      <c r="N7" s="1"/>
    </row>
    <row r="8" spans="2:14" x14ac:dyDescent="0.3">
      <c r="B8" s="15" t="s">
        <v>91</v>
      </c>
      <c r="C8" s="16">
        <v>1031659</v>
      </c>
      <c r="D8" s="16">
        <v>209507</v>
      </c>
      <c r="E8" s="16">
        <v>85244</v>
      </c>
      <c r="F8" s="16">
        <v>422663</v>
      </c>
      <c r="G8" s="16">
        <v>277423</v>
      </c>
      <c r="H8" s="16">
        <v>457178</v>
      </c>
      <c r="I8" s="16">
        <v>190464</v>
      </c>
      <c r="J8" s="1"/>
      <c r="K8" s="1"/>
      <c r="L8" s="1"/>
      <c r="M8" s="1"/>
      <c r="N8" s="1"/>
    </row>
    <row r="9" spans="2:14" x14ac:dyDescent="0.3">
      <c r="B9" s="15" t="s">
        <v>95</v>
      </c>
      <c r="C9" s="16">
        <v>619918</v>
      </c>
      <c r="D9" s="16">
        <v>127032</v>
      </c>
      <c r="E9" s="16">
        <v>74659</v>
      </c>
      <c r="F9" s="16">
        <v>300050</v>
      </c>
      <c r="G9" s="16">
        <v>154468</v>
      </c>
      <c r="H9" s="16">
        <v>388575</v>
      </c>
      <c r="I9" s="16">
        <v>181775</v>
      </c>
      <c r="J9" s="1"/>
      <c r="K9" s="1"/>
      <c r="L9" s="1"/>
      <c r="M9" s="1"/>
      <c r="N9" s="1"/>
    </row>
    <row r="10" spans="2:14" x14ac:dyDescent="0.3">
      <c r="B10" s="15" t="s">
        <v>96</v>
      </c>
      <c r="C10" s="16">
        <v>170183</v>
      </c>
      <c r="D10" s="16">
        <v>41728</v>
      </c>
      <c r="E10" s="16">
        <v>22544</v>
      </c>
      <c r="F10" s="16">
        <v>104077</v>
      </c>
      <c r="G10" s="16">
        <v>52091</v>
      </c>
      <c r="H10" s="16">
        <v>174629</v>
      </c>
      <c r="I10" s="16">
        <v>62831</v>
      </c>
      <c r="J10" s="1"/>
      <c r="K10" s="1"/>
      <c r="L10" s="1"/>
      <c r="M10" s="1"/>
      <c r="N10" s="1"/>
    </row>
    <row r="11" spans="2:14" x14ac:dyDescent="0.3">
      <c r="B11" s="15" t="s">
        <v>1</v>
      </c>
      <c r="C11" s="16">
        <v>55458</v>
      </c>
      <c r="D11" s="16">
        <v>24026</v>
      </c>
      <c r="E11" s="16">
        <v>7348</v>
      </c>
      <c r="F11" s="16">
        <v>53974</v>
      </c>
      <c r="G11" s="16">
        <v>19867</v>
      </c>
      <c r="H11" s="16">
        <v>66092</v>
      </c>
      <c r="I11" s="16">
        <v>21422</v>
      </c>
      <c r="J11" s="1"/>
      <c r="K11" s="1"/>
      <c r="L11" s="1"/>
      <c r="M11" s="1"/>
      <c r="N11" s="1"/>
    </row>
    <row r="12" spans="2:14" x14ac:dyDescent="0.3">
      <c r="B12" s="15" t="s">
        <v>97</v>
      </c>
      <c r="C12" s="16">
        <v>194315</v>
      </c>
      <c r="D12" s="16">
        <v>37974</v>
      </c>
      <c r="E12" s="16">
        <v>22037</v>
      </c>
      <c r="F12" s="16">
        <v>57443</v>
      </c>
      <c r="G12" s="16">
        <v>28180</v>
      </c>
      <c r="H12" s="16">
        <v>111380</v>
      </c>
      <c r="I12" s="16">
        <v>41081</v>
      </c>
      <c r="J12" s="1"/>
      <c r="K12" s="1"/>
      <c r="L12" s="1"/>
      <c r="M12" s="1"/>
      <c r="N12" s="1"/>
    </row>
    <row r="13" spans="2:14" x14ac:dyDescent="0.3">
      <c r="B13" s="15" t="s">
        <v>98</v>
      </c>
      <c r="C13" s="16">
        <v>96224</v>
      </c>
      <c r="D13" s="16">
        <v>15053</v>
      </c>
      <c r="E13" s="16">
        <v>6186</v>
      </c>
      <c r="F13" s="16">
        <v>38546</v>
      </c>
      <c r="G13" s="16">
        <v>18442</v>
      </c>
      <c r="H13" s="16">
        <v>31423</v>
      </c>
      <c r="I13" s="16">
        <v>27217</v>
      </c>
      <c r="J13" s="1"/>
      <c r="K13" s="1"/>
      <c r="L13" s="1"/>
      <c r="M13" s="1"/>
      <c r="N13" s="1"/>
    </row>
    <row r="14" spans="2:14" x14ac:dyDescent="0.3">
      <c r="B14" s="15" t="s">
        <v>62</v>
      </c>
      <c r="C14" s="16">
        <v>1328143</v>
      </c>
      <c r="D14" s="16">
        <v>301292</v>
      </c>
      <c r="E14" s="16">
        <v>131996</v>
      </c>
      <c r="F14" s="16">
        <v>594317</v>
      </c>
      <c r="G14" s="16">
        <v>270745</v>
      </c>
      <c r="H14" s="16">
        <v>811836</v>
      </c>
      <c r="I14" s="16">
        <v>320641</v>
      </c>
      <c r="J14" s="1"/>
      <c r="K14" s="1"/>
      <c r="L14" s="1"/>
      <c r="M14" s="1"/>
      <c r="N14" s="1"/>
    </row>
    <row r="15" spans="2:14" x14ac:dyDescent="0.3">
      <c r="B15" s="15" t="s">
        <v>99</v>
      </c>
      <c r="C15" s="16">
        <v>244749</v>
      </c>
      <c r="D15" s="16">
        <v>136801</v>
      </c>
      <c r="E15" s="16">
        <v>44119</v>
      </c>
      <c r="F15" s="16">
        <v>204911</v>
      </c>
      <c r="G15" s="16">
        <v>97900</v>
      </c>
      <c r="H15" s="16">
        <v>284356</v>
      </c>
      <c r="I15" s="16">
        <v>73882</v>
      </c>
      <c r="J15" s="1"/>
      <c r="K15" s="1"/>
      <c r="L15" s="1"/>
      <c r="M15" s="1"/>
      <c r="N15" s="1"/>
    </row>
    <row r="16" spans="2:14" x14ac:dyDescent="0.3">
      <c r="B16" s="15" t="s">
        <v>61</v>
      </c>
      <c r="C16" s="16">
        <v>-173519</v>
      </c>
      <c r="D16" s="16">
        <v>-19450</v>
      </c>
      <c r="E16" s="16">
        <v>-45347</v>
      </c>
      <c r="F16" s="16">
        <v>-318260</v>
      </c>
      <c r="G16" s="16">
        <v>-93170</v>
      </c>
      <c r="H16" s="16">
        <v>-335948</v>
      </c>
      <c r="I16" s="16">
        <v>-93596</v>
      </c>
      <c r="J16" s="1"/>
      <c r="K16" s="1"/>
      <c r="L16" s="1"/>
      <c r="M16" s="1"/>
      <c r="N16" s="1"/>
    </row>
  </sheetData>
  <sortState xmlns:xlrd2="http://schemas.microsoft.com/office/spreadsheetml/2017/richdata2" ref="A2:P901">
    <sortCondition ref="A1:A901"/>
  </sortState>
  <mergeCells count="1">
    <mergeCell ref="B2:N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6AF6A-A5DD-4637-9C89-4ABE598F9807}">
  <sheetPr codeName="Sheet8">
    <tabColor theme="5" tint="0.79998168889431442"/>
  </sheetPr>
  <dimension ref="B3:I25"/>
  <sheetViews>
    <sheetView workbookViewId="0">
      <selection activeCell="F16" sqref="F16"/>
    </sheetView>
  </sheetViews>
  <sheetFormatPr defaultRowHeight="14.4" x14ac:dyDescent="0.3"/>
  <cols>
    <col min="2" max="2" width="17.88671875" bestFit="1" customWidth="1"/>
    <col min="3" max="3" width="11.5546875" bestFit="1" customWidth="1"/>
    <col min="4" max="4" width="19.88671875" bestFit="1" customWidth="1"/>
    <col min="5" max="5" width="17.88671875" bestFit="1" customWidth="1"/>
    <col min="6" max="6" width="19.88671875" bestFit="1" customWidth="1"/>
    <col min="7" max="7" width="15" customWidth="1"/>
    <col min="8" max="8" width="17.88671875" bestFit="1" customWidth="1"/>
    <col min="9" max="9" width="17.33203125" bestFit="1" customWidth="1"/>
    <col min="10" max="11" width="13.44140625" customWidth="1"/>
  </cols>
  <sheetData>
    <row r="3" spans="2:8" ht="22.8" x14ac:dyDescent="0.3">
      <c r="B3" s="58" t="s">
        <v>101</v>
      </c>
      <c r="C3" s="58"/>
      <c r="D3" s="58"/>
      <c r="E3" s="58"/>
      <c r="F3" s="58"/>
      <c r="G3" s="58"/>
      <c r="H3" s="58"/>
    </row>
    <row r="4" spans="2:8" x14ac:dyDescent="0.3">
      <c r="B4" s="1"/>
      <c r="C4" s="1"/>
      <c r="D4" s="1"/>
      <c r="E4" s="1"/>
      <c r="F4" s="1"/>
      <c r="G4" s="1"/>
      <c r="H4" s="1"/>
    </row>
    <row r="5" spans="2:8" x14ac:dyDescent="0.3">
      <c r="B5" s="14" t="s">
        <v>2</v>
      </c>
      <c r="C5" s="14" t="s">
        <v>5</v>
      </c>
      <c r="D5" s="14" t="s">
        <v>0</v>
      </c>
      <c r="E5" s="14" t="s">
        <v>6</v>
      </c>
      <c r="F5" s="14" t="s">
        <v>102</v>
      </c>
      <c r="G5" s="14" t="s">
        <v>7</v>
      </c>
      <c r="H5" s="14" t="s">
        <v>103</v>
      </c>
    </row>
    <row r="6" spans="2:8" x14ac:dyDescent="0.3">
      <c r="B6" s="17" t="s">
        <v>13</v>
      </c>
      <c r="C6" s="18" t="s">
        <v>77</v>
      </c>
      <c r="D6" s="19">
        <v>4602437</v>
      </c>
      <c r="E6" s="19">
        <v>1994238</v>
      </c>
      <c r="F6" s="19">
        <v>2167757</v>
      </c>
      <c r="G6" s="19">
        <v>-173519</v>
      </c>
      <c r="H6" s="20">
        <v>-3.7701548114618399E-2</v>
      </c>
    </row>
    <row r="7" spans="2:8" x14ac:dyDescent="0.3">
      <c r="B7" s="17" t="s">
        <v>9</v>
      </c>
      <c r="C7" s="18" t="s">
        <v>78</v>
      </c>
      <c r="D7" s="19">
        <v>1044739</v>
      </c>
      <c r="E7" s="19">
        <v>435870</v>
      </c>
      <c r="F7" s="19">
        <v>455320</v>
      </c>
      <c r="G7" s="19">
        <v>-19450</v>
      </c>
      <c r="H7" s="20">
        <v>-1.8617090010040801E-2</v>
      </c>
    </row>
    <row r="8" spans="2:8" x14ac:dyDescent="0.3">
      <c r="B8" s="17" t="s">
        <v>19</v>
      </c>
      <c r="C8" s="18" t="s">
        <v>79</v>
      </c>
      <c r="D8" s="19">
        <v>513628</v>
      </c>
      <c r="E8" s="19">
        <v>172671</v>
      </c>
      <c r="F8" s="19">
        <v>218018</v>
      </c>
      <c r="G8" s="19">
        <v>-45347</v>
      </c>
      <c r="H8" s="20">
        <v>-8.8287632294189594E-2</v>
      </c>
    </row>
    <row r="9" spans="2:8" x14ac:dyDescent="0.3">
      <c r="B9" s="17" t="s">
        <v>17</v>
      </c>
      <c r="C9" s="18" t="s">
        <v>18</v>
      </c>
      <c r="D9" s="19">
        <v>1831990</v>
      </c>
      <c r="E9" s="19">
        <v>658493</v>
      </c>
      <c r="F9" s="19">
        <v>976753</v>
      </c>
      <c r="G9" s="19">
        <v>-318260</v>
      </c>
      <c r="H9" s="20">
        <v>-0.173723655696811</v>
      </c>
    </row>
    <row r="10" spans="2:8" x14ac:dyDescent="0.3">
      <c r="B10" s="17" t="s">
        <v>64</v>
      </c>
      <c r="C10" s="18" t="s">
        <v>80</v>
      </c>
      <c r="D10" s="19">
        <v>1258403</v>
      </c>
      <c r="E10" s="19">
        <v>457301</v>
      </c>
      <c r="F10" s="19">
        <v>550471</v>
      </c>
      <c r="G10" s="19">
        <v>-93170</v>
      </c>
      <c r="H10" s="20">
        <v>-7.4038285032696202E-2</v>
      </c>
    </row>
    <row r="11" spans="2:8" x14ac:dyDescent="0.3">
      <c r="B11" s="17" t="s">
        <v>15</v>
      </c>
      <c r="C11" s="18" t="s">
        <v>81</v>
      </c>
      <c r="D11" s="19">
        <v>2749689</v>
      </c>
      <c r="E11" s="19">
        <v>893329</v>
      </c>
      <c r="F11" s="19">
        <v>1229277</v>
      </c>
      <c r="G11" s="19">
        <v>-335948</v>
      </c>
      <c r="H11" s="20">
        <v>-0.12217672616794099</v>
      </c>
    </row>
    <row r="12" spans="2:8" x14ac:dyDescent="0.3">
      <c r="B12" s="17" t="s">
        <v>11</v>
      </c>
      <c r="C12" s="18" t="s">
        <v>82</v>
      </c>
      <c r="D12" s="19">
        <v>1013405</v>
      </c>
      <c r="E12" s="19">
        <v>431194</v>
      </c>
      <c r="F12" s="19">
        <v>524790</v>
      </c>
      <c r="G12" s="19">
        <v>-93596</v>
      </c>
      <c r="H12" s="20">
        <v>-9.2357941790301004E-2</v>
      </c>
    </row>
    <row r="13" spans="2:8" x14ac:dyDescent="0.3">
      <c r="E13" s="25"/>
    </row>
    <row r="14" spans="2:8" x14ac:dyDescent="0.3">
      <c r="E14" s="25">
        <f>SUM(E6:E12)</f>
        <v>5043096</v>
      </c>
      <c r="G14" s="25">
        <f>SUM(G6:G12)</f>
        <v>-1079290</v>
      </c>
    </row>
    <row r="17" spans="2:9" x14ac:dyDescent="0.3">
      <c r="B17" s="23" t="s">
        <v>126</v>
      </c>
      <c r="C17" t="s">
        <v>129</v>
      </c>
      <c r="E17" s="23" t="s">
        <v>126</v>
      </c>
      <c r="F17" t="s">
        <v>131</v>
      </c>
      <c r="H17" s="23" t="s">
        <v>126</v>
      </c>
      <c r="I17" t="s">
        <v>130</v>
      </c>
    </row>
    <row r="18" spans="2:9" x14ac:dyDescent="0.3">
      <c r="B18" s="24" t="s">
        <v>81</v>
      </c>
      <c r="C18" s="25">
        <v>2749689</v>
      </c>
      <c r="E18" s="24" t="s">
        <v>81</v>
      </c>
      <c r="F18" s="25">
        <v>1229277</v>
      </c>
      <c r="H18" s="24" t="s">
        <v>81</v>
      </c>
      <c r="I18" s="29">
        <v>0.17713900350102396</v>
      </c>
    </row>
    <row r="19" spans="2:9" x14ac:dyDescent="0.3">
      <c r="B19" s="24" t="s">
        <v>79</v>
      </c>
      <c r="C19" s="25">
        <v>513628</v>
      </c>
      <c r="E19" s="24" t="s">
        <v>79</v>
      </c>
      <c r="F19" s="25">
        <v>218018</v>
      </c>
      <c r="H19" s="24" t="s">
        <v>79</v>
      </c>
      <c r="I19" s="29">
        <v>3.4239086465932829E-2</v>
      </c>
    </row>
    <row r="20" spans="2:9" x14ac:dyDescent="0.3">
      <c r="B20" s="24" t="s">
        <v>78</v>
      </c>
      <c r="C20" s="25">
        <v>1044739</v>
      </c>
      <c r="E20" s="24" t="s">
        <v>78</v>
      </c>
      <c r="F20" s="25">
        <v>455320</v>
      </c>
      <c r="H20" s="24" t="s">
        <v>78</v>
      </c>
      <c r="I20" s="29">
        <v>8.6429050725982615E-2</v>
      </c>
    </row>
    <row r="21" spans="2:9" x14ac:dyDescent="0.3">
      <c r="B21" s="24" t="s">
        <v>77</v>
      </c>
      <c r="C21" s="25">
        <v>4602437</v>
      </c>
      <c r="E21" s="24" t="s">
        <v>77</v>
      </c>
      <c r="F21" s="25">
        <v>2167757</v>
      </c>
      <c r="H21" s="24" t="s">
        <v>77</v>
      </c>
      <c r="I21" s="29">
        <v>0.39543923018717075</v>
      </c>
    </row>
    <row r="22" spans="2:9" x14ac:dyDescent="0.3">
      <c r="B22" s="24" t="s">
        <v>18</v>
      </c>
      <c r="C22" s="25">
        <v>1831990</v>
      </c>
      <c r="E22" s="24" t="s">
        <v>18</v>
      </c>
      <c r="F22" s="25">
        <v>976753</v>
      </c>
      <c r="H22" s="24" t="s">
        <v>18</v>
      </c>
      <c r="I22" s="29">
        <v>0.13057316378668976</v>
      </c>
    </row>
    <row r="23" spans="2:9" x14ac:dyDescent="0.3">
      <c r="B23" s="24" t="s">
        <v>80</v>
      </c>
      <c r="C23" s="25">
        <v>1258403</v>
      </c>
      <c r="E23" s="24" t="s">
        <v>80</v>
      </c>
      <c r="F23" s="25">
        <v>550471</v>
      </c>
      <c r="H23" s="24" t="s">
        <v>80</v>
      </c>
      <c r="I23" s="29">
        <v>9.067862281423951E-2</v>
      </c>
    </row>
    <row r="24" spans="2:9" x14ac:dyDescent="0.3">
      <c r="B24" s="24" t="s">
        <v>82</v>
      </c>
      <c r="C24" s="25">
        <v>1013405</v>
      </c>
      <c r="E24" s="24" t="s">
        <v>82</v>
      </c>
      <c r="F24" s="25">
        <v>524790</v>
      </c>
      <c r="H24" s="24" t="s">
        <v>82</v>
      </c>
      <c r="I24" s="29">
        <v>8.5501842518960577E-2</v>
      </c>
    </row>
    <row r="25" spans="2:9" x14ac:dyDescent="0.3">
      <c r="B25" s="24" t="s">
        <v>127</v>
      </c>
      <c r="C25" s="25">
        <v>13014291</v>
      </c>
      <c r="E25" s="24" t="s">
        <v>127</v>
      </c>
      <c r="F25" s="25">
        <v>6122386</v>
      </c>
      <c r="H25" s="24" t="s">
        <v>127</v>
      </c>
      <c r="I25" s="29">
        <v>1</v>
      </c>
    </row>
  </sheetData>
  <mergeCells count="1">
    <mergeCell ref="B3:H3"/>
  </mergeCells>
  <pageMargins left="0.7" right="0.7" top="0.75" bottom="0.75" header="0.3" footer="0.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3CD42-A2EE-4A21-BE8B-1437652155E7}">
  <sheetPr codeName="Sheet9">
    <tabColor theme="5" tint="0.79998168889431442"/>
  </sheetPr>
  <dimension ref="B2:J32"/>
  <sheetViews>
    <sheetView workbookViewId="0">
      <selection activeCell="L10" sqref="L10"/>
    </sheetView>
  </sheetViews>
  <sheetFormatPr defaultRowHeight="14.4" x14ac:dyDescent="0.3"/>
  <cols>
    <col min="2" max="2" width="18.21875" bestFit="1" customWidth="1"/>
    <col min="3" max="3" width="11.109375" bestFit="1" customWidth="1"/>
    <col min="4" max="6" width="16.6640625" customWidth="1"/>
  </cols>
  <sheetData>
    <row r="2" spans="2:10" ht="22.8" x14ac:dyDescent="0.3">
      <c r="B2" s="58" t="s">
        <v>104</v>
      </c>
      <c r="C2" s="58"/>
      <c r="D2" s="58"/>
      <c r="E2" s="58"/>
      <c r="F2" s="58"/>
      <c r="G2" s="58"/>
      <c r="H2" s="58"/>
      <c r="I2" s="58"/>
      <c r="J2" s="58"/>
    </row>
    <row r="3" spans="2:10" x14ac:dyDescent="0.3">
      <c r="B3" s="1"/>
      <c r="C3" s="1"/>
      <c r="D3" s="1"/>
      <c r="E3" s="1"/>
      <c r="F3" s="1"/>
      <c r="G3" s="1"/>
      <c r="H3" s="1"/>
      <c r="I3" s="1"/>
      <c r="J3" s="1"/>
    </row>
    <row r="4" spans="2:10" x14ac:dyDescent="0.3">
      <c r="B4" s="14" t="s">
        <v>3</v>
      </c>
      <c r="C4" s="14" t="s">
        <v>90</v>
      </c>
      <c r="D4" s="14" t="s">
        <v>105</v>
      </c>
      <c r="E4" s="14" t="s">
        <v>106</v>
      </c>
      <c r="F4" s="14" t="s">
        <v>107</v>
      </c>
      <c r="G4" s="1"/>
      <c r="H4" s="1"/>
      <c r="I4" s="1"/>
      <c r="J4" s="1"/>
    </row>
    <row r="5" spans="2:10" x14ac:dyDescent="0.3">
      <c r="B5" s="18" t="s">
        <v>0</v>
      </c>
      <c r="C5" s="19">
        <v>13014291</v>
      </c>
      <c r="D5" s="19">
        <v>1859184.42857143</v>
      </c>
      <c r="E5" s="19">
        <v>4602437</v>
      </c>
      <c r="F5" s="19">
        <v>513628</v>
      </c>
      <c r="G5" s="1"/>
      <c r="H5" s="1"/>
      <c r="I5" s="1"/>
      <c r="J5" s="1"/>
    </row>
    <row r="6" spans="2:10" x14ac:dyDescent="0.3">
      <c r="B6" s="18" t="s">
        <v>65</v>
      </c>
      <c r="C6" s="19">
        <v>7971195</v>
      </c>
      <c r="D6" s="19">
        <v>1138742.1428571399</v>
      </c>
      <c r="E6" s="19">
        <v>2608199</v>
      </c>
      <c r="F6" s="19">
        <v>340957</v>
      </c>
      <c r="G6" s="1"/>
      <c r="H6" s="1"/>
      <c r="I6" s="1"/>
      <c r="J6" s="1"/>
    </row>
    <row r="7" spans="2:10" x14ac:dyDescent="0.3">
      <c r="B7" s="18" t="s">
        <v>63</v>
      </c>
      <c r="C7" s="19">
        <v>5043096</v>
      </c>
      <c r="D7" s="19">
        <v>720442.28571428603</v>
      </c>
      <c r="E7" s="19">
        <v>1994238</v>
      </c>
      <c r="F7" s="19">
        <v>172671</v>
      </c>
      <c r="G7" s="1"/>
      <c r="H7" s="1"/>
      <c r="I7" s="1"/>
      <c r="J7" s="1"/>
    </row>
    <row r="8" spans="2:10" x14ac:dyDescent="0.3">
      <c r="B8" s="18" t="s">
        <v>91</v>
      </c>
      <c r="C8" s="19">
        <v>2674138</v>
      </c>
      <c r="D8" s="19">
        <v>382019.71428571403</v>
      </c>
      <c r="E8" s="19">
        <v>1031659</v>
      </c>
      <c r="F8" s="19">
        <v>85244</v>
      </c>
      <c r="G8" s="1"/>
      <c r="H8" s="1"/>
      <c r="I8" s="1"/>
      <c r="J8" s="1"/>
    </row>
    <row r="9" spans="2:10" x14ac:dyDescent="0.3">
      <c r="B9" s="18" t="s">
        <v>95</v>
      </c>
      <c r="C9" s="19">
        <v>1846477</v>
      </c>
      <c r="D9" s="19">
        <v>263782.42857142899</v>
      </c>
      <c r="E9" s="19">
        <v>619918</v>
      </c>
      <c r="F9" s="19">
        <v>74659</v>
      </c>
      <c r="G9" s="1"/>
      <c r="H9" s="1"/>
      <c r="I9" s="1"/>
      <c r="J9" s="1"/>
    </row>
    <row r="10" spans="2:10" x14ac:dyDescent="0.3">
      <c r="B10" s="18" t="s">
        <v>96</v>
      </c>
      <c r="C10" s="19">
        <v>628083</v>
      </c>
      <c r="D10" s="19">
        <v>89726.142857142899</v>
      </c>
      <c r="E10" s="19">
        <v>174629</v>
      </c>
      <c r="F10" s="19">
        <v>22544</v>
      </c>
      <c r="G10" s="1"/>
      <c r="H10" s="1"/>
      <c r="I10" s="1"/>
      <c r="J10" s="1"/>
    </row>
    <row r="11" spans="2:10" x14ac:dyDescent="0.3">
      <c r="B11" s="18" t="s">
        <v>1</v>
      </c>
      <c r="C11" s="19">
        <v>248187</v>
      </c>
      <c r="D11" s="19">
        <v>35455.285714285703</v>
      </c>
      <c r="E11" s="19">
        <v>66092</v>
      </c>
      <c r="F11" s="19">
        <v>7348</v>
      </c>
      <c r="G11" s="1"/>
      <c r="H11" s="1"/>
      <c r="I11" s="1"/>
      <c r="J11" s="1"/>
    </row>
    <row r="12" spans="2:10" x14ac:dyDescent="0.3">
      <c r="B12" s="18" t="s">
        <v>97</v>
      </c>
      <c r="C12" s="19">
        <v>492410</v>
      </c>
      <c r="D12" s="19">
        <v>70344.285714285696</v>
      </c>
      <c r="E12" s="19">
        <v>194315</v>
      </c>
      <c r="F12" s="19">
        <v>22037</v>
      </c>
      <c r="G12" s="1"/>
      <c r="H12" s="1"/>
      <c r="I12" s="1"/>
      <c r="J12" s="1"/>
    </row>
    <row r="13" spans="2:10" x14ac:dyDescent="0.3">
      <c r="B13" s="18" t="s">
        <v>98</v>
      </c>
      <c r="C13" s="19">
        <v>233091</v>
      </c>
      <c r="D13" s="19">
        <v>33298.714285714297</v>
      </c>
      <c r="E13" s="19">
        <v>96224</v>
      </c>
      <c r="F13" s="19">
        <v>6186</v>
      </c>
      <c r="G13" s="1"/>
      <c r="H13" s="1"/>
      <c r="I13" s="1"/>
      <c r="J13" s="1"/>
    </row>
    <row r="14" spans="2:10" x14ac:dyDescent="0.3">
      <c r="B14" s="18" t="s">
        <v>62</v>
      </c>
      <c r="C14" s="19">
        <v>3758970</v>
      </c>
      <c r="D14" s="19">
        <v>536995.71428571397</v>
      </c>
      <c r="E14" s="19">
        <v>1328143</v>
      </c>
      <c r="F14" s="19">
        <v>131996</v>
      </c>
      <c r="G14" s="1"/>
      <c r="H14" s="1"/>
      <c r="I14" s="1"/>
      <c r="J14" s="1"/>
    </row>
    <row r="15" spans="2:10" x14ac:dyDescent="0.3">
      <c r="B15" s="18" t="s">
        <v>99</v>
      </c>
      <c r="C15" s="19">
        <v>1086718</v>
      </c>
      <c r="D15" s="19">
        <v>155245.42857142899</v>
      </c>
      <c r="E15" s="19">
        <v>284356</v>
      </c>
      <c r="F15" s="19">
        <v>44119</v>
      </c>
      <c r="G15" s="1"/>
      <c r="H15" s="1"/>
      <c r="I15" s="1"/>
      <c r="J15" s="1"/>
    </row>
    <row r="16" spans="2:10" x14ac:dyDescent="0.3">
      <c r="B16" s="18" t="s">
        <v>61</v>
      </c>
      <c r="C16" s="19">
        <v>-1079290</v>
      </c>
      <c r="D16" s="19">
        <v>-154184.285714286</v>
      </c>
      <c r="E16" s="19">
        <v>-19450</v>
      </c>
      <c r="F16" s="19">
        <v>-335948</v>
      </c>
      <c r="G16" s="1"/>
      <c r="H16" s="1"/>
      <c r="I16" s="1"/>
      <c r="J16" s="1"/>
    </row>
    <row r="19" spans="2:3" x14ac:dyDescent="0.3">
      <c r="B19" s="23" t="s">
        <v>126</v>
      </c>
      <c r="C19" t="s">
        <v>128</v>
      </c>
    </row>
    <row r="20" spans="2:3" x14ac:dyDescent="0.3">
      <c r="B20" s="24" t="s">
        <v>99</v>
      </c>
      <c r="C20" s="25">
        <v>1086718</v>
      </c>
    </row>
    <row r="21" spans="2:3" x14ac:dyDescent="0.3">
      <c r="B21" s="24" t="s">
        <v>65</v>
      </c>
      <c r="C21" s="25">
        <v>7971195</v>
      </c>
    </row>
    <row r="22" spans="2:3" x14ac:dyDescent="0.3">
      <c r="B22" s="24" t="s">
        <v>98</v>
      </c>
      <c r="C22" s="25">
        <v>233091</v>
      </c>
    </row>
    <row r="23" spans="2:3" x14ac:dyDescent="0.3">
      <c r="B23" s="24" t="s">
        <v>63</v>
      </c>
      <c r="C23" s="25">
        <v>5043096</v>
      </c>
    </row>
    <row r="24" spans="2:3" x14ac:dyDescent="0.3">
      <c r="B24" s="24" t="s">
        <v>62</v>
      </c>
      <c r="C24" s="25">
        <v>3758970</v>
      </c>
    </row>
    <row r="25" spans="2:3" x14ac:dyDescent="0.3">
      <c r="B25" s="24" t="s">
        <v>97</v>
      </c>
      <c r="C25" s="25">
        <v>492410</v>
      </c>
    </row>
    <row r="26" spans="2:3" x14ac:dyDescent="0.3">
      <c r="B26" s="24" t="s">
        <v>61</v>
      </c>
      <c r="C26" s="25">
        <v>-1079290</v>
      </c>
    </row>
    <row r="27" spans="2:3" x14ac:dyDescent="0.3">
      <c r="B27" s="24" t="s">
        <v>91</v>
      </c>
      <c r="C27" s="25">
        <v>2674138</v>
      </c>
    </row>
    <row r="28" spans="2:3" x14ac:dyDescent="0.3">
      <c r="B28" s="24" t="s">
        <v>96</v>
      </c>
      <c r="C28" s="25">
        <v>628083</v>
      </c>
    </row>
    <row r="29" spans="2:3" x14ac:dyDescent="0.3">
      <c r="B29" s="24" t="s">
        <v>95</v>
      </c>
      <c r="C29" s="25">
        <v>1846477</v>
      </c>
    </row>
    <row r="30" spans="2:3" x14ac:dyDescent="0.3">
      <c r="B30" s="24" t="s">
        <v>0</v>
      </c>
      <c r="C30" s="25">
        <v>13014291</v>
      </c>
    </row>
    <row r="31" spans="2:3" x14ac:dyDescent="0.3">
      <c r="B31" s="24" t="s">
        <v>1</v>
      </c>
      <c r="C31" s="25">
        <v>248187</v>
      </c>
    </row>
    <row r="32" spans="2:3" x14ac:dyDescent="0.3">
      <c r="B32" s="24" t="s">
        <v>127</v>
      </c>
      <c r="C32" s="25">
        <v>35917366</v>
      </c>
    </row>
  </sheetData>
  <mergeCells count="1">
    <mergeCell ref="B2:J2"/>
  </mergeCell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FB470-96EA-4042-A5FA-AF9EEBEB9788}">
  <sheetPr codeName="Sheet7">
    <tabColor theme="5" tint="0.79998168889431442"/>
  </sheetPr>
  <dimension ref="B2:E89"/>
  <sheetViews>
    <sheetView topLeftCell="A62" workbookViewId="0">
      <selection activeCell="D41" sqref="D41:D52"/>
    </sheetView>
  </sheetViews>
  <sheetFormatPr defaultRowHeight="14.4" x14ac:dyDescent="0.3"/>
  <cols>
    <col min="3" max="3" width="20.6640625" customWidth="1"/>
    <col min="4" max="4" width="14.109375" customWidth="1"/>
    <col min="5" max="5" width="10" customWidth="1"/>
  </cols>
  <sheetData>
    <row r="2" spans="2:5" ht="22.8" x14ac:dyDescent="0.3">
      <c r="B2" s="58" t="s">
        <v>100</v>
      </c>
      <c r="C2" s="58"/>
      <c r="D2" s="58"/>
      <c r="E2" s="58"/>
    </row>
    <row r="3" spans="2:5" x14ac:dyDescent="0.3">
      <c r="B3" s="1"/>
      <c r="C3" s="1"/>
      <c r="D3" s="1"/>
      <c r="E3" s="1"/>
    </row>
    <row r="4" spans="2:5" x14ac:dyDescent="0.3">
      <c r="B4" s="14" t="s">
        <v>2</v>
      </c>
      <c r="C4" s="14" t="s">
        <v>3</v>
      </c>
      <c r="D4" s="14" t="s">
        <v>4</v>
      </c>
      <c r="E4" s="1"/>
    </row>
    <row r="5" spans="2:5" x14ac:dyDescent="0.3">
      <c r="B5" s="17" t="s">
        <v>13</v>
      </c>
      <c r="C5" s="18" t="s">
        <v>0</v>
      </c>
      <c r="D5" s="16">
        <v>4602437</v>
      </c>
      <c r="E5" s="1"/>
    </row>
    <row r="6" spans="2:5" x14ac:dyDescent="0.3">
      <c r="B6" s="17" t="s">
        <v>13</v>
      </c>
      <c r="C6" s="18" t="s">
        <v>65</v>
      </c>
      <c r="D6" s="16">
        <v>2608199</v>
      </c>
      <c r="E6" s="1"/>
    </row>
    <row r="7" spans="2:5" x14ac:dyDescent="0.3">
      <c r="B7" s="17" t="s">
        <v>13</v>
      </c>
      <c r="C7" s="18" t="s">
        <v>63</v>
      </c>
      <c r="D7" s="16">
        <v>1994238</v>
      </c>
      <c r="E7" s="1"/>
    </row>
    <row r="8" spans="2:5" x14ac:dyDescent="0.3">
      <c r="B8" s="17" t="s">
        <v>13</v>
      </c>
      <c r="C8" s="18" t="s">
        <v>91</v>
      </c>
      <c r="D8" s="16">
        <v>1031659</v>
      </c>
      <c r="E8" s="1"/>
    </row>
    <row r="9" spans="2:5" x14ac:dyDescent="0.3">
      <c r="B9" s="17" t="s">
        <v>13</v>
      </c>
      <c r="C9" s="18" t="s">
        <v>95</v>
      </c>
      <c r="D9" s="16">
        <v>619918</v>
      </c>
      <c r="E9" s="1"/>
    </row>
    <row r="10" spans="2:5" x14ac:dyDescent="0.3">
      <c r="B10" s="17" t="s">
        <v>13</v>
      </c>
      <c r="C10" s="18" t="s">
        <v>96</v>
      </c>
      <c r="D10" s="16">
        <v>170183</v>
      </c>
      <c r="E10" s="1"/>
    </row>
    <row r="11" spans="2:5" x14ac:dyDescent="0.3">
      <c r="B11" s="17" t="s">
        <v>13</v>
      </c>
      <c r="C11" s="18" t="s">
        <v>1</v>
      </c>
      <c r="D11" s="16">
        <v>55458</v>
      </c>
      <c r="E11" s="1"/>
    </row>
    <row r="12" spans="2:5" x14ac:dyDescent="0.3">
      <c r="B12" s="17" t="s">
        <v>13</v>
      </c>
      <c r="C12" s="18" t="s">
        <v>97</v>
      </c>
      <c r="D12" s="16">
        <v>194315</v>
      </c>
      <c r="E12" s="1"/>
    </row>
    <row r="13" spans="2:5" x14ac:dyDescent="0.3">
      <c r="B13" s="17" t="s">
        <v>13</v>
      </c>
      <c r="C13" s="18" t="s">
        <v>98</v>
      </c>
      <c r="D13" s="16">
        <v>96224</v>
      </c>
      <c r="E13" s="1"/>
    </row>
    <row r="14" spans="2:5" x14ac:dyDescent="0.3">
      <c r="B14" s="17" t="s">
        <v>13</v>
      </c>
      <c r="C14" s="18" t="s">
        <v>62</v>
      </c>
      <c r="D14" s="16">
        <v>1328143</v>
      </c>
      <c r="E14" s="1"/>
    </row>
    <row r="15" spans="2:5" x14ac:dyDescent="0.3">
      <c r="B15" s="17" t="s">
        <v>13</v>
      </c>
      <c r="C15" s="18" t="s">
        <v>99</v>
      </c>
      <c r="D15" s="16">
        <v>244749</v>
      </c>
      <c r="E15" s="1"/>
    </row>
    <row r="16" spans="2:5" x14ac:dyDescent="0.3">
      <c r="B16" s="17" t="s">
        <v>13</v>
      </c>
      <c r="C16" s="18" t="s">
        <v>61</v>
      </c>
      <c r="D16" s="16">
        <v>-173519</v>
      </c>
      <c r="E16" s="1"/>
    </row>
    <row r="17" spans="2:5" x14ac:dyDescent="0.3">
      <c r="B17" s="17" t="s">
        <v>9</v>
      </c>
      <c r="C17" s="18" t="s">
        <v>0</v>
      </c>
      <c r="D17" s="16">
        <v>1044739</v>
      </c>
      <c r="E17" s="1"/>
    </row>
    <row r="18" spans="2:5" x14ac:dyDescent="0.3">
      <c r="B18" s="17" t="s">
        <v>9</v>
      </c>
      <c r="C18" s="18" t="s">
        <v>65</v>
      </c>
      <c r="D18" s="16">
        <v>608869</v>
      </c>
      <c r="E18" s="1"/>
    </row>
    <row r="19" spans="2:5" x14ac:dyDescent="0.3">
      <c r="B19" s="17" t="s">
        <v>9</v>
      </c>
      <c r="C19" s="18" t="s">
        <v>63</v>
      </c>
      <c r="D19" s="16">
        <v>435870</v>
      </c>
      <c r="E19" s="1"/>
    </row>
    <row r="20" spans="2:5" x14ac:dyDescent="0.3">
      <c r="B20" s="17" t="s">
        <v>9</v>
      </c>
      <c r="C20" s="18" t="s">
        <v>91</v>
      </c>
      <c r="D20" s="16">
        <v>209507</v>
      </c>
      <c r="E20" s="1"/>
    </row>
    <row r="21" spans="2:5" x14ac:dyDescent="0.3">
      <c r="B21" s="17" t="s">
        <v>9</v>
      </c>
      <c r="C21" s="18" t="s">
        <v>95</v>
      </c>
      <c r="D21" s="16">
        <v>127032</v>
      </c>
      <c r="E21" s="1"/>
    </row>
    <row r="22" spans="2:5" x14ac:dyDescent="0.3">
      <c r="B22" s="17" t="s">
        <v>9</v>
      </c>
      <c r="C22" s="18" t="s">
        <v>96</v>
      </c>
      <c r="D22" s="16">
        <v>41728</v>
      </c>
      <c r="E22" s="1"/>
    </row>
    <row r="23" spans="2:5" x14ac:dyDescent="0.3">
      <c r="B23" s="17" t="s">
        <v>9</v>
      </c>
      <c r="C23" s="18" t="s">
        <v>1</v>
      </c>
      <c r="D23" s="16">
        <v>24026</v>
      </c>
      <c r="E23" s="1"/>
    </row>
    <row r="24" spans="2:5" x14ac:dyDescent="0.3">
      <c r="B24" s="17" t="s">
        <v>9</v>
      </c>
      <c r="C24" s="18" t="s">
        <v>97</v>
      </c>
      <c r="D24" s="16">
        <v>37974</v>
      </c>
      <c r="E24" s="1"/>
    </row>
    <row r="25" spans="2:5" x14ac:dyDescent="0.3">
      <c r="B25" s="17" t="s">
        <v>9</v>
      </c>
      <c r="C25" s="18" t="s">
        <v>98</v>
      </c>
      <c r="D25" s="16">
        <v>15053</v>
      </c>
      <c r="E25" s="1"/>
    </row>
    <row r="26" spans="2:5" x14ac:dyDescent="0.3">
      <c r="B26" s="17" t="s">
        <v>9</v>
      </c>
      <c r="C26" s="18" t="s">
        <v>62</v>
      </c>
      <c r="D26" s="16">
        <v>301292</v>
      </c>
      <c r="E26" s="1"/>
    </row>
    <row r="27" spans="2:5" x14ac:dyDescent="0.3">
      <c r="B27" s="17" t="s">
        <v>9</v>
      </c>
      <c r="C27" s="18" t="s">
        <v>99</v>
      </c>
      <c r="D27" s="16">
        <v>136801</v>
      </c>
      <c r="E27" s="1"/>
    </row>
    <row r="28" spans="2:5" x14ac:dyDescent="0.3">
      <c r="B28" s="17" t="s">
        <v>9</v>
      </c>
      <c r="C28" s="18" t="s">
        <v>61</v>
      </c>
      <c r="D28" s="16">
        <v>-19450</v>
      </c>
      <c r="E28" s="1"/>
    </row>
    <row r="29" spans="2:5" x14ac:dyDescent="0.3">
      <c r="B29" s="17" t="s">
        <v>19</v>
      </c>
      <c r="C29" s="18" t="s">
        <v>0</v>
      </c>
      <c r="D29" s="16">
        <v>513628</v>
      </c>
      <c r="E29" s="1"/>
    </row>
    <row r="30" spans="2:5" x14ac:dyDescent="0.3">
      <c r="B30" s="17" t="s">
        <v>19</v>
      </c>
      <c r="C30" s="18" t="s">
        <v>65</v>
      </c>
      <c r="D30" s="16">
        <v>340957</v>
      </c>
      <c r="E30" s="1"/>
    </row>
    <row r="31" spans="2:5" x14ac:dyDescent="0.3">
      <c r="B31" s="17" t="s">
        <v>19</v>
      </c>
      <c r="C31" s="18" t="s">
        <v>63</v>
      </c>
      <c r="D31" s="16">
        <v>172671</v>
      </c>
      <c r="E31" s="1"/>
    </row>
    <row r="32" spans="2:5" x14ac:dyDescent="0.3">
      <c r="B32" s="17" t="s">
        <v>19</v>
      </c>
      <c r="C32" s="18" t="s">
        <v>91</v>
      </c>
      <c r="D32" s="16">
        <v>85244</v>
      </c>
      <c r="E32" s="1"/>
    </row>
    <row r="33" spans="2:5" x14ac:dyDescent="0.3">
      <c r="B33" s="17" t="s">
        <v>19</v>
      </c>
      <c r="C33" s="18" t="s">
        <v>95</v>
      </c>
      <c r="D33" s="16">
        <v>74659</v>
      </c>
      <c r="E33" s="1"/>
    </row>
    <row r="34" spans="2:5" x14ac:dyDescent="0.3">
      <c r="B34" s="17" t="s">
        <v>19</v>
      </c>
      <c r="C34" s="18" t="s">
        <v>96</v>
      </c>
      <c r="D34" s="16">
        <v>22544</v>
      </c>
      <c r="E34" s="1"/>
    </row>
    <row r="35" spans="2:5" x14ac:dyDescent="0.3">
      <c r="B35" s="17" t="s">
        <v>19</v>
      </c>
      <c r="C35" s="18" t="s">
        <v>1</v>
      </c>
      <c r="D35" s="16">
        <v>7348</v>
      </c>
      <c r="E35" s="1"/>
    </row>
    <row r="36" spans="2:5" x14ac:dyDescent="0.3">
      <c r="B36" s="17" t="s">
        <v>19</v>
      </c>
      <c r="C36" s="18" t="s">
        <v>97</v>
      </c>
      <c r="D36" s="16">
        <v>22037</v>
      </c>
      <c r="E36" s="1"/>
    </row>
    <row r="37" spans="2:5" x14ac:dyDescent="0.3">
      <c r="B37" s="17" t="s">
        <v>19</v>
      </c>
      <c r="C37" s="18" t="s">
        <v>98</v>
      </c>
      <c r="D37" s="16">
        <v>6186</v>
      </c>
      <c r="E37" s="1"/>
    </row>
    <row r="38" spans="2:5" x14ac:dyDescent="0.3">
      <c r="B38" s="17" t="s">
        <v>19</v>
      </c>
      <c r="C38" s="18" t="s">
        <v>62</v>
      </c>
      <c r="D38" s="16">
        <v>131996</v>
      </c>
      <c r="E38" s="1"/>
    </row>
    <row r="39" spans="2:5" x14ac:dyDescent="0.3">
      <c r="B39" s="17" t="s">
        <v>19</v>
      </c>
      <c r="C39" s="18" t="s">
        <v>99</v>
      </c>
      <c r="D39" s="16">
        <v>44119</v>
      </c>
      <c r="E39" s="1"/>
    </row>
    <row r="40" spans="2:5" x14ac:dyDescent="0.3">
      <c r="B40" s="17" t="s">
        <v>19</v>
      </c>
      <c r="C40" s="18" t="s">
        <v>61</v>
      </c>
      <c r="D40" s="16">
        <v>-45347</v>
      </c>
      <c r="E40" s="1"/>
    </row>
    <row r="41" spans="2:5" x14ac:dyDescent="0.3">
      <c r="B41" s="17" t="s">
        <v>17</v>
      </c>
      <c r="C41" s="18" t="s">
        <v>0</v>
      </c>
      <c r="D41" s="16">
        <v>1831990</v>
      </c>
      <c r="E41" s="1"/>
    </row>
    <row r="42" spans="2:5" x14ac:dyDescent="0.3">
      <c r="B42" s="17" t="s">
        <v>17</v>
      </c>
      <c r="C42" s="18" t="s">
        <v>65</v>
      </c>
      <c r="D42" s="16">
        <v>1173497</v>
      </c>
      <c r="E42" s="1"/>
    </row>
    <row r="43" spans="2:5" x14ac:dyDescent="0.3">
      <c r="B43" s="17" t="s">
        <v>17</v>
      </c>
      <c r="C43" s="18" t="s">
        <v>63</v>
      </c>
      <c r="D43" s="16">
        <v>658493</v>
      </c>
      <c r="E43" s="1"/>
    </row>
    <row r="44" spans="2:5" x14ac:dyDescent="0.3">
      <c r="B44" s="17" t="s">
        <v>17</v>
      </c>
      <c r="C44" s="18" t="s">
        <v>91</v>
      </c>
      <c r="D44" s="16">
        <v>422663</v>
      </c>
      <c r="E44" s="1"/>
    </row>
    <row r="45" spans="2:5" x14ac:dyDescent="0.3">
      <c r="B45" s="17" t="s">
        <v>17</v>
      </c>
      <c r="C45" s="18" t="s">
        <v>95</v>
      </c>
      <c r="D45" s="16">
        <v>300050</v>
      </c>
      <c r="E45" s="1"/>
    </row>
    <row r="46" spans="2:5" x14ac:dyDescent="0.3">
      <c r="B46" s="17" t="s">
        <v>17</v>
      </c>
      <c r="C46" s="18" t="s">
        <v>96</v>
      </c>
      <c r="D46" s="16">
        <v>104077</v>
      </c>
      <c r="E46" s="1"/>
    </row>
    <row r="47" spans="2:5" x14ac:dyDescent="0.3">
      <c r="B47" s="17" t="s">
        <v>17</v>
      </c>
      <c r="C47" s="18" t="s">
        <v>1</v>
      </c>
      <c r="D47" s="16">
        <v>53974</v>
      </c>
      <c r="E47" s="1"/>
    </row>
    <row r="48" spans="2:5" x14ac:dyDescent="0.3">
      <c r="B48" s="17" t="s">
        <v>17</v>
      </c>
      <c r="C48" s="18" t="s">
        <v>97</v>
      </c>
      <c r="D48" s="16">
        <v>57443</v>
      </c>
      <c r="E48" s="1"/>
    </row>
    <row r="49" spans="2:5" x14ac:dyDescent="0.3">
      <c r="B49" s="17" t="s">
        <v>17</v>
      </c>
      <c r="C49" s="18" t="s">
        <v>98</v>
      </c>
      <c r="D49" s="16">
        <v>38546</v>
      </c>
      <c r="E49" s="1"/>
    </row>
    <row r="50" spans="2:5" x14ac:dyDescent="0.3">
      <c r="B50" s="17" t="s">
        <v>17</v>
      </c>
      <c r="C50" s="18" t="s">
        <v>62</v>
      </c>
      <c r="D50" s="16">
        <v>594317</v>
      </c>
      <c r="E50" s="1"/>
    </row>
    <row r="51" spans="2:5" x14ac:dyDescent="0.3">
      <c r="B51" s="17" t="s">
        <v>17</v>
      </c>
      <c r="C51" s="18" t="s">
        <v>99</v>
      </c>
      <c r="D51" s="16">
        <v>204911</v>
      </c>
      <c r="E51" s="1"/>
    </row>
    <row r="52" spans="2:5" x14ac:dyDescent="0.3">
      <c r="B52" s="17" t="s">
        <v>17</v>
      </c>
      <c r="C52" s="18" t="s">
        <v>61</v>
      </c>
      <c r="D52" s="16">
        <v>-318260</v>
      </c>
      <c r="E52" s="1"/>
    </row>
    <row r="53" spans="2:5" x14ac:dyDescent="0.3">
      <c r="B53" s="17" t="s">
        <v>64</v>
      </c>
      <c r="C53" s="18" t="s">
        <v>0</v>
      </c>
      <c r="D53" s="16">
        <v>1258403</v>
      </c>
      <c r="E53" s="1"/>
    </row>
    <row r="54" spans="2:5" x14ac:dyDescent="0.3">
      <c r="B54" s="17" t="s">
        <v>64</v>
      </c>
      <c r="C54" s="18" t="s">
        <v>65</v>
      </c>
      <c r="D54" s="16">
        <v>801102</v>
      </c>
      <c r="E54" s="1"/>
    </row>
    <row r="55" spans="2:5" x14ac:dyDescent="0.3">
      <c r="B55" s="17" t="s">
        <v>64</v>
      </c>
      <c r="C55" s="18" t="s">
        <v>63</v>
      </c>
      <c r="D55" s="16">
        <v>457301</v>
      </c>
      <c r="E55" s="1"/>
    </row>
    <row r="56" spans="2:5" x14ac:dyDescent="0.3">
      <c r="B56" s="17" t="s">
        <v>64</v>
      </c>
      <c r="C56" s="18" t="s">
        <v>91</v>
      </c>
      <c r="D56" s="16">
        <v>277423</v>
      </c>
      <c r="E56" s="1"/>
    </row>
    <row r="57" spans="2:5" x14ac:dyDescent="0.3">
      <c r="B57" s="17" t="s">
        <v>64</v>
      </c>
      <c r="C57" s="18" t="s">
        <v>95</v>
      </c>
      <c r="D57" s="16">
        <v>154468</v>
      </c>
      <c r="E57" s="1"/>
    </row>
    <row r="58" spans="2:5" x14ac:dyDescent="0.3">
      <c r="B58" s="17" t="s">
        <v>64</v>
      </c>
      <c r="C58" s="18" t="s">
        <v>96</v>
      </c>
      <c r="D58" s="16">
        <v>52091</v>
      </c>
      <c r="E58" s="1"/>
    </row>
    <row r="59" spans="2:5" x14ac:dyDescent="0.3">
      <c r="B59" s="17" t="s">
        <v>64</v>
      </c>
      <c r="C59" s="18" t="s">
        <v>1</v>
      </c>
      <c r="D59" s="16">
        <v>19867</v>
      </c>
      <c r="E59" s="1"/>
    </row>
    <row r="60" spans="2:5" x14ac:dyDescent="0.3">
      <c r="B60" s="17" t="s">
        <v>64</v>
      </c>
      <c r="C60" s="18" t="s">
        <v>97</v>
      </c>
      <c r="D60" s="16">
        <v>28180</v>
      </c>
      <c r="E60" s="1"/>
    </row>
    <row r="61" spans="2:5" x14ac:dyDescent="0.3">
      <c r="B61" s="17" t="s">
        <v>64</v>
      </c>
      <c r="C61" s="18" t="s">
        <v>98</v>
      </c>
      <c r="D61" s="16">
        <v>18442</v>
      </c>
      <c r="E61" s="1"/>
    </row>
    <row r="62" spans="2:5" x14ac:dyDescent="0.3">
      <c r="B62" s="17" t="s">
        <v>64</v>
      </c>
      <c r="C62" s="18" t="s">
        <v>62</v>
      </c>
      <c r="D62" s="16">
        <v>270745</v>
      </c>
      <c r="E62" s="1"/>
    </row>
    <row r="63" spans="2:5" x14ac:dyDescent="0.3">
      <c r="B63" s="17" t="s">
        <v>64</v>
      </c>
      <c r="C63" s="18" t="s">
        <v>99</v>
      </c>
      <c r="D63" s="16">
        <v>97900</v>
      </c>
      <c r="E63" s="1"/>
    </row>
    <row r="64" spans="2:5" x14ac:dyDescent="0.3">
      <c r="B64" s="17" t="s">
        <v>64</v>
      </c>
      <c r="C64" s="18" t="s">
        <v>61</v>
      </c>
      <c r="D64" s="16">
        <v>-93170</v>
      </c>
      <c r="E64" s="1"/>
    </row>
    <row r="65" spans="2:5" x14ac:dyDescent="0.3">
      <c r="B65" s="17" t="s">
        <v>15</v>
      </c>
      <c r="C65" s="18" t="s">
        <v>0</v>
      </c>
      <c r="D65" s="16">
        <v>2749689</v>
      </c>
      <c r="E65" s="1"/>
    </row>
    <row r="66" spans="2:5" x14ac:dyDescent="0.3">
      <c r="B66" s="17" t="s">
        <v>15</v>
      </c>
      <c r="C66" s="18" t="s">
        <v>65</v>
      </c>
      <c r="D66" s="16">
        <v>1856360</v>
      </c>
      <c r="E66" s="1"/>
    </row>
    <row r="67" spans="2:5" x14ac:dyDescent="0.3">
      <c r="B67" s="17" t="s">
        <v>15</v>
      </c>
      <c r="C67" s="18" t="s">
        <v>63</v>
      </c>
      <c r="D67" s="16">
        <v>893329</v>
      </c>
      <c r="E67" s="1"/>
    </row>
    <row r="68" spans="2:5" x14ac:dyDescent="0.3">
      <c r="B68" s="17" t="s">
        <v>15</v>
      </c>
      <c r="C68" s="18" t="s">
        <v>91</v>
      </c>
      <c r="D68" s="16">
        <v>457178</v>
      </c>
      <c r="E68" s="1"/>
    </row>
    <row r="69" spans="2:5" x14ac:dyDescent="0.3">
      <c r="B69" s="17" t="s">
        <v>15</v>
      </c>
      <c r="C69" s="18" t="s">
        <v>95</v>
      </c>
      <c r="D69" s="16">
        <v>388575</v>
      </c>
      <c r="E69" s="1"/>
    </row>
    <row r="70" spans="2:5" x14ac:dyDescent="0.3">
      <c r="B70" s="17" t="s">
        <v>15</v>
      </c>
      <c r="C70" s="18" t="s">
        <v>96</v>
      </c>
      <c r="D70" s="16">
        <v>174629</v>
      </c>
      <c r="E70" s="1"/>
    </row>
    <row r="71" spans="2:5" x14ac:dyDescent="0.3">
      <c r="B71" s="17" t="s">
        <v>15</v>
      </c>
      <c r="C71" s="18" t="s">
        <v>1</v>
      </c>
      <c r="D71" s="16">
        <v>66092</v>
      </c>
      <c r="E71" s="1"/>
    </row>
    <row r="72" spans="2:5" x14ac:dyDescent="0.3">
      <c r="B72" s="17" t="s">
        <v>15</v>
      </c>
      <c r="C72" s="18" t="s">
        <v>97</v>
      </c>
      <c r="D72" s="16">
        <v>111380</v>
      </c>
      <c r="E72" s="1"/>
    </row>
    <row r="73" spans="2:5" x14ac:dyDescent="0.3">
      <c r="B73" s="17" t="s">
        <v>15</v>
      </c>
      <c r="C73" s="18" t="s">
        <v>98</v>
      </c>
      <c r="D73" s="16">
        <v>31423</v>
      </c>
      <c r="E73" s="1"/>
    </row>
    <row r="74" spans="2:5" x14ac:dyDescent="0.3">
      <c r="B74" s="17" t="s">
        <v>15</v>
      </c>
      <c r="C74" s="18" t="s">
        <v>62</v>
      </c>
      <c r="D74" s="16">
        <v>811836</v>
      </c>
      <c r="E74" s="1"/>
    </row>
    <row r="75" spans="2:5" x14ac:dyDescent="0.3">
      <c r="B75" s="17" t="s">
        <v>15</v>
      </c>
      <c r="C75" s="18" t="s">
        <v>99</v>
      </c>
      <c r="D75" s="16">
        <v>284356</v>
      </c>
      <c r="E75" s="1"/>
    </row>
    <row r="76" spans="2:5" x14ac:dyDescent="0.3">
      <c r="B76" s="17" t="s">
        <v>15</v>
      </c>
      <c r="C76" s="18" t="s">
        <v>61</v>
      </c>
      <c r="D76" s="16">
        <v>-335948</v>
      </c>
      <c r="E76" s="1"/>
    </row>
    <row r="77" spans="2:5" x14ac:dyDescent="0.3">
      <c r="B77" s="17" t="s">
        <v>11</v>
      </c>
      <c r="C77" s="18" t="s">
        <v>0</v>
      </c>
      <c r="D77" s="16">
        <v>1013405</v>
      </c>
      <c r="E77" s="1"/>
    </row>
    <row r="78" spans="2:5" x14ac:dyDescent="0.3">
      <c r="B78" s="17" t="s">
        <v>11</v>
      </c>
      <c r="C78" s="18" t="s">
        <v>65</v>
      </c>
      <c r="D78" s="16">
        <v>582211</v>
      </c>
      <c r="E78" s="1"/>
    </row>
    <row r="79" spans="2:5" x14ac:dyDescent="0.3">
      <c r="B79" s="17" t="s">
        <v>11</v>
      </c>
      <c r="C79" s="18" t="s">
        <v>63</v>
      </c>
      <c r="D79" s="16">
        <v>431194</v>
      </c>
      <c r="E79" s="1"/>
    </row>
    <row r="80" spans="2:5" x14ac:dyDescent="0.3">
      <c r="B80" s="17" t="s">
        <v>11</v>
      </c>
      <c r="C80" s="18" t="s">
        <v>91</v>
      </c>
      <c r="D80" s="16">
        <v>190464</v>
      </c>
      <c r="E80" s="1"/>
    </row>
    <row r="81" spans="2:5" x14ac:dyDescent="0.3">
      <c r="B81" s="17" t="s">
        <v>11</v>
      </c>
      <c r="C81" s="18" t="s">
        <v>95</v>
      </c>
      <c r="D81" s="16">
        <v>181775</v>
      </c>
      <c r="E81" s="1"/>
    </row>
    <row r="82" spans="2:5" x14ac:dyDescent="0.3">
      <c r="B82" s="17" t="s">
        <v>11</v>
      </c>
      <c r="C82" s="18" t="s">
        <v>96</v>
      </c>
      <c r="D82" s="16">
        <v>62831</v>
      </c>
      <c r="E82" s="1"/>
    </row>
    <row r="83" spans="2:5" x14ac:dyDescent="0.3">
      <c r="B83" s="17" t="s">
        <v>11</v>
      </c>
      <c r="C83" s="18" t="s">
        <v>1</v>
      </c>
      <c r="D83" s="16">
        <v>21422</v>
      </c>
      <c r="E83" s="1"/>
    </row>
    <row r="84" spans="2:5" x14ac:dyDescent="0.3">
      <c r="B84" s="17" t="s">
        <v>11</v>
      </c>
      <c r="C84" s="18" t="s">
        <v>97</v>
      </c>
      <c r="D84" s="16">
        <v>41081</v>
      </c>
      <c r="E84" s="1"/>
    </row>
    <row r="85" spans="2:5" x14ac:dyDescent="0.3">
      <c r="B85" s="17" t="s">
        <v>11</v>
      </c>
      <c r="C85" s="18" t="s">
        <v>98</v>
      </c>
      <c r="D85" s="16">
        <v>27217</v>
      </c>
      <c r="E85" s="1"/>
    </row>
    <row r="86" spans="2:5" x14ac:dyDescent="0.3">
      <c r="B86" s="17" t="s">
        <v>11</v>
      </c>
      <c r="C86" s="18" t="s">
        <v>62</v>
      </c>
      <c r="D86" s="16">
        <v>320641</v>
      </c>
      <c r="E86" s="1"/>
    </row>
    <row r="87" spans="2:5" x14ac:dyDescent="0.3">
      <c r="B87" s="17" t="s">
        <v>11</v>
      </c>
      <c r="C87" s="18" t="s">
        <v>99</v>
      </c>
      <c r="D87" s="16">
        <v>73882</v>
      </c>
      <c r="E87" s="1"/>
    </row>
    <row r="88" spans="2:5" x14ac:dyDescent="0.3">
      <c r="B88" s="17" t="s">
        <v>11</v>
      </c>
      <c r="C88" s="18" t="s">
        <v>61</v>
      </c>
      <c r="D88" s="16">
        <v>-93596</v>
      </c>
      <c r="E88" s="1"/>
    </row>
    <row r="89" spans="2:5" x14ac:dyDescent="0.3">
      <c r="B89" s="1"/>
      <c r="C89" s="1"/>
      <c r="D89" s="1"/>
      <c r="E89" s="1"/>
    </row>
  </sheetData>
  <mergeCells count="1">
    <mergeCell ref="B2:E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EE4E7-0693-4A5C-9D05-CB0867F864BB}">
  <sheetPr codeName="Sheet5">
    <tabColor theme="5" tint="0.79998168889431442"/>
  </sheetPr>
  <dimension ref="B2:G11"/>
  <sheetViews>
    <sheetView workbookViewId="0">
      <selection activeCell="B19" sqref="B19"/>
    </sheetView>
  </sheetViews>
  <sheetFormatPr defaultRowHeight="14.4" x14ac:dyDescent="0.3"/>
  <cols>
    <col min="2" max="6" width="18.88671875" customWidth="1"/>
  </cols>
  <sheetData>
    <row r="2" spans="2:7" ht="22.8" x14ac:dyDescent="0.3">
      <c r="B2" s="58" t="s">
        <v>109</v>
      </c>
      <c r="C2" s="58"/>
      <c r="D2" s="58"/>
      <c r="E2" s="58"/>
      <c r="F2" s="58"/>
      <c r="G2" s="58"/>
    </row>
    <row r="3" spans="2:7" x14ac:dyDescent="0.3">
      <c r="B3" s="1"/>
      <c r="C3" s="1"/>
      <c r="D3" s="1"/>
      <c r="E3" s="1"/>
      <c r="F3" s="1"/>
      <c r="G3" s="1"/>
    </row>
    <row r="4" spans="2:7" x14ac:dyDescent="0.3">
      <c r="B4" s="14" t="s">
        <v>2</v>
      </c>
      <c r="C4" s="14" t="s">
        <v>5</v>
      </c>
      <c r="D4" s="14" t="s">
        <v>110</v>
      </c>
      <c r="E4" s="14" t="s">
        <v>111</v>
      </c>
      <c r="F4" s="14" t="s">
        <v>8</v>
      </c>
      <c r="G4" s="1"/>
    </row>
    <row r="5" spans="2:7" x14ac:dyDescent="0.3">
      <c r="B5" s="17" t="s">
        <v>13</v>
      </c>
      <c r="C5" s="18" t="s">
        <v>77</v>
      </c>
      <c r="D5" s="18" t="s">
        <v>112</v>
      </c>
      <c r="E5" s="17" t="s">
        <v>113</v>
      </c>
      <c r="F5" s="17" t="s">
        <v>14</v>
      </c>
      <c r="G5" s="1"/>
    </row>
    <row r="6" spans="2:7" x14ac:dyDescent="0.3">
      <c r="B6" s="17" t="s">
        <v>9</v>
      </c>
      <c r="C6" s="18" t="s">
        <v>78</v>
      </c>
      <c r="D6" s="18" t="s">
        <v>114</v>
      </c>
      <c r="E6" s="17" t="s">
        <v>115</v>
      </c>
      <c r="F6" s="17" t="s">
        <v>10</v>
      </c>
      <c r="G6" s="1"/>
    </row>
    <row r="7" spans="2:7" x14ac:dyDescent="0.3">
      <c r="B7" s="17" t="s">
        <v>19</v>
      </c>
      <c r="C7" s="18" t="s">
        <v>79</v>
      </c>
      <c r="D7" s="18" t="s">
        <v>116</v>
      </c>
      <c r="E7" s="17" t="s">
        <v>117</v>
      </c>
      <c r="F7" s="17" t="s">
        <v>20</v>
      </c>
      <c r="G7" s="1"/>
    </row>
    <row r="8" spans="2:7" x14ac:dyDescent="0.3">
      <c r="B8" s="17" t="s">
        <v>17</v>
      </c>
      <c r="C8" s="18" t="s">
        <v>18</v>
      </c>
      <c r="D8" s="18" t="s">
        <v>118</v>
      </c>
      <c r="E8" s="17" t="s">
        <v>115</v>
      </c>
      <c r="F8" s="17" t="s">
        <v>12</v>
      </c>
      <c r="G8" s="1"/>
    </row>
    <row r="9" spans="2:7" x14ac:dyDescent="0.3">
      <c r="B9" s="17" t="s">
        <v>64</v>
      </c>
      <c r="C9" s="18" t="s">
        <v>80</v>
      </c>
      <c r="D9" s="18" t="s">
        <v>119</v>
      </c>
      <c r="E9" s="17" t="s">
        <v>117</v>
      </c>
      <c r="F9" s="17" t="s">
        <v>10</v>
      </c>
      <c r="G9" s="1"/>
    </row>
    <row r="10" spans="2:7" x14ac:dyDescent="0.3">
      <c r="B10" s="17" t="s">
        <v>15</v>
      </c>
      <c r="C10" s="18" t="s">
        <v>81</v>
      </c>
      <c r="D10" s="18" t="s">
        <v>120</v>
      </c>
      <c r="E10" s="17" t="s">
        <v>115</v>
      </c>
      <c r="F10" s="17" t="s">
        <v>16</v>
      </c>
      <c r="G10" s="1"/>
    </row>
    <row r="11" spans="2:7" x14ac:dyDescent="0.3">
      <c r="B11" s="17" t="s">
        <v>11</v>
      </c>
      <c r="C11" s="18" t="s">
        <v>82</v>
      </c>
      <c r="D11" s="18" t="s">
        <v>121</v>
      </c>
      <c r="E11" s="17" t="s">
        <v>117</v>
      </c>
      <c r="F11" s="17" t="s">
        <v>16</v>
      </c>
      <c r="G11" s="1"/>
    </row>
  </sheetData>
  <mergeCells count="1">
    <mergeCell ref="B2:G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F7C92C-EC5E-4549-936D-AD72E213A2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Instructions</vt:lpstr>
      <vt:lpstr>Exercise 1</vt:lpstr>
      <vt:lpstr>Exercise 2</vt:lpstr>
      <vt:lpstr>Exercise 3 Dashboard</vt:lpstr>
      <vt:lpstr>Detail1</vt:lpstr>
      <vt:lpstr>Financial data</vt:lpstr>
      <vt:lpstr>summary by store</vt:lpstr>
      <vt:lpstr>summary by category</vt:lpstr>
      <vt:lpstr>flattened data</vt:lpstr>
      <vt:lpstr>store info</vt:lpstr>
    </vt:vector>
  </TitlesOfParts>
  <Company>Administrator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momina rahim</dc:creator>
  <cp:lastModifiedBy>Bisma Iftikhar</cp:lastModifiedBy>
  <dcterms:created xsi:type="dcterms:W3CDTF">2026-03-29T16:30:08Z</dcterms:created>
  <dcterms:modified xsi:type="dcterms:W3CDTF">2026-06-30T09:09:14Z</dcterms:modified>
</cp:coreProperties>
</file>